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c090e63ef33177/Documents/"/>
    </mc:Choice>
  </mc:AlternateContent>
  <xr:revisionPtr revIDLastSave="12" documentId="8_{A911E817-70C1-4A55-BCBE-681638286383}" xr6:coauthVersionLast="47" xr6:coauthVersionMax="47" xr10:uidLastSave="{6D9E1ED1-EC05-4541-BE73-9A7567C3B4AC}"/>
  <bookViews>
    <workbookView xWindow="-108" yWindow="-108" windowWidth="23256" windowHeight="12576" activeTab="2" xr2:uid="{867EC1FA-0C46-4288-8959-7268C484E841}"/>
  </bookViews>
  <sheets>
    <sheet name="Dashboard" sheetId="1" r:id="rId1"/>
    <sheet name="Cloud Computing" sheetId="2" r:id="rId2"/>
    <sheet name="Data Analyst" sheetId="4" r:id="rId3"/>
    <sheet name="Machine Learning" sheetId="5" r:id="rId4"/>
    <sheet name="AI" sheetId="6" r:id="rId5"/>
    <sheet name="Cyber Security" sheetId="7" r:id="rId6"/>
    <sheet name="DEV-OPS" sheetId="8" r:id="rId7"/>
    <sheet name="Full Stack Development" sheetId="9" r:id="rId8"/>
    <sheet name="Python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1" l="1"/>
  <c r="N21" i="1"/>
  <c r="S21" i="1"/>
  <c r="S13" i="1"/>
  <c r="N17" i="1"/>
  <c r="N13" i="1"/>
  <c r="D1" i="10"/>
  <c r="D1" i="9"/>
  <c r="D1" i="8"/>
  <c r="D1" i="7"/>
  <c r="D1" i="6"/>
  <c r="D1" i="5"/>
  <c r="D1" i="4"/>
  <c r="D1" i="2"/>
  <c r="G3" i="10"/>
  <c r="C1" i="10"/>
  <c r="H3" i="10"/>
  <c r="G4" i="10"/>
  <c r="G5" i="10"/>
  <c r="G6" i="10"/>
  <c r="H6" i="10" s="1"/>
  <c r="G7" i="10"/>
  <c r="H7" i="10" s="1"/>
  <c r="G8" i="10"/>
  <c r="G9" i="10"/>
  <c r="H9" i="10" s="1"/>
  <c r="G10" i="10"/>
  <c r="H10" i="10" s="1"/>
  <c r="G11" i="10"/>
  <c r="H11" i="10" s="1"/>
  <c r="G12" i="10"/>
  <c r="G13" i="10"/>
  <c r="G14" i="10"/>
  <c r="H14" i="10" s="1"/>
  <c r="G15" i="10"/>
  <c r="H15" i="10" s="1"/>
  <c r="G16" i="10"/>
  <c r="H16" i="10" s="1"/>
  <c r="G17" i="10"/>
  <c r="H17" i="10" s="1"/>
  <c r="G18" i="10"/>
  <c r="H18" i="10" s="1"/>
  <c r="G19" i="10"/>
  <c r="H19" i="10" s="1"/>
  <c r="C1" i="9"/>
  <c r="G3" i="9"/>
  <c r="H3" i="9" s="1"/>
  <c r="G4" i="9"/>
  <c r="H4" i="9" s="1"/>
  <c r="G5" i="9"/>
  <c r="H5" i="9" s="1"/>
  <c r="G6" i="9"/>
  <c r="G7" i="9"/>
  <c r="G8" i="9"/>
  <c r="H8" i="9" s="1"/>
  <c r="G9" i="9"/>
  <c r="H9" i="9" s="1"/>
  <c r="G10" i="9"/>
  <c r="H10" i="9" s="1"/>
  <c r="G11" i="9"/>
  <c r="G12" i="9"/>
  <c r="H12" i="9" s="1"/>
  <c r="G13" i="9"/>
  <c r="H13" i="9" s="1"/>
  <c r="G14" i="9"/>
  <c r="G15" i="9"/>
  <c r="H15" i="9" s="1"/>
  <c r="G16" i="9"/>
  <c r="H16" i="9" s="1"/>
  <c r="G17" i="9"/>
  <c r="H17" i="9" s="1"/>
  <c r="G18" i="9"/>
  <c r="H18" i="9" s="1"/>
  <c r="C1" i="8"/>
  <c r="G3" i="8"/>
  <c r="H3" i="8" s="1"/>
  <c r="G4" i="8"/>
  <c r="G5" i="8"/>
  <c r="H5" i="8" s="1"/>
  <c r="G6" i="8"/>
  <c r="G7" i="8"/>
  <c r="G8" i="8"/>
  <c r="H8" i="8" s="1"/>
  <c r="G9" i="8"/>
  <c r="H9" i="8" s="1"/>
  <c r="G10" i="8"/>
  <c r="H10" i="8" s="1"/>
  <c r="G11" i="8"/>
  <c r="G12" i="8"/>
  <c r="G13" i="8"/>
  <c r="G14" i="8"/>
  <c r="G15" i="8"/>
  <c r="G16" i="8"/>
  <c r="G17" i="8"/>
  <c r="H17" i="8" s="1"/>
  <c r="G18" i="8"/>
  <c r="H18" i="8" s="1"/>
  <c r="G3" i="7"/>
  <c r="H3" i="7" s="1"/>
  <c r="G4" i="7"/>
  <c r="G5" i="7"/>
  <c r="H5" i="7" s="1"/>
  <c r="G6" i="7"/>
  <c r="G7" i="7"/>
  <c r="G8" i="7"/>
  <c r="H8" i="7" s="1"/>
  <c r="G9" i="7"/>
  <c r="H9" i="7" s="1"/>
  <c r="G10" i="7"/>
  <c r="H10" i="7" s="1"/>
  <c r="G11" i="7"/>
  <c r="H11" i="7" s="1"/>
  <c r="G12" i="7"/>
  <c r="H12" i="7" s="1"/>
  <c r="C1" i="7"/>
  <c r="G3" i="6"/>
  <c r="H3" i="6" s="1"/>
  <c r="G4" i="6"/>
  <c r="G5" i="6"/>
  <c r="H5" i="6" s="1"/>
  <c r="G6" i="6"/>
  <c r="G7" i="6"/>
  <c r="G8" i="6"/>
  <c r="H8" i="6" s="1"/>
  <c r="G9" i="6"/>
  <c r="H9" i="6" s="1"/>
  <c r="G10" i="6"/>
  <c r="H10" i="6" s="1"/>
  <c r="G11" i="6"/>
  <c r="H11" i="6" s="1"/>
  <c r="G12" i="6"/>
  <c r="G13" i="6"/>
  <c r="G14" i="6"/>
  <c r="G15" i="6"/>
  <c r="G16" i="6"/>
  <c r="H16" i="6" s="1"/>
  <c r="G17" i="6"/>
  <c r="H17" i="6" s="1"/>
  <c r="G18" i="6"/>
  <c r="H18" i="6" s="1"/>
  <c r="G19" i="6"/>
  <c r="G20" i="6"/>
  <c r="G21" i="6"/>
  <c r="G22" i="6"/>
  <c r="G23" i="6"/>
  <c r="G24" i="6"/>
  <c r="G25" i="6"/>
  <c r="H25" i="6" s="1"/>
  <c r="G26" i="6"/>
  <c r="H26" i="6" s="1"/>
  <c r="G27" i="6"/>
  <c r="G28" i="6"/>
  <c r="G29" i="6"/>
  <c r="H29" i="6" s="1"/>
  <c r="F26" i="6"/>
  <c r="F27" i="6"/>
  <c r="F28" i="6"/>
  <c r="F29" i="6"/>
  <c r="H28" i="6"/>
  <c r="H27" i="6"/>
  <c r="C1" i="6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G10" i="5"/>
  <c r="G11" i="5"/>
  <c r="H11" i="5" s="1"/>
  <c r="G12" i="5"/>
  <c r="H12" i="5" s="1"/>
  <c r="G13" i="5"/>
  <c r="H13" i="5" s="1"/>
  <c r="G14" i="5"/>
  <c r="G15" i="5"/>
  <c r="H15" i="5" s="1"/>
  <c r="G16" i="5"/>
  <c r="G17" i="5"/>
  <c r="H17" i="5" s="1"/>
  <c r="G18" i="5"/>
  <c r="H18" i="5" s="1"/>
  <c r="F3" i="5"/>
  <c r="F4" i="5"/>
  <c r="F5" i="5"/>
  <c r="F6" i="5"/>
  <c r="F7" i="5"/>
  <c r="F8" i="5"/>
  <c r="F9" i="5"/>
  <c r="H9" i="5"/>
  <c r="F10" i="5"/>
  <c r="H10" i="5"/>
  <c r="F11" i="5"/>
  <c r="F12" i="5"/>
  <c r="F13" i="5"/>
  <c r="F14" i="5"/>
  <c r="H14" i="5"/>
  <c r="F15" i="5"/>
  <c r="F16" i="5"/>
  <c r="H16" i="5"/>
  <c r="F17" i="5"/>
  <c r="F18" i="5"/>
  <c r="C1" i="5"/>
  <c r="G4" i="4"/>
  <c r="G5" i="4"/>
  <c r="H5" i="4" s="1"/>
  <c r="G6" i="4"/>
  <c r="G7" i="4"/>
  <c r="H7" i="4" s="1"/>
  <c r="G8" i="4"/>
  <c r="G9" i="4"/>
  <c r="G10" i="4"/>
  <c r="G11" i="4"/>
  <c r="H11" i="4" s="1"/>
  <c r="G12" i="4"/>
  <c r="G13" i="4"/>
  <c r="H13" i="4" s="1"/>
  <c r="G14" i="4"/>
  <c r="G15" i="4"/>
  <c r="H15" i="4" s="1"/>
  <c r="G16" i="4"/>
  <c r="G17" i="4"/>
  <c r="G18" i="4"/>
  <c r="G19" i="4"/>
  <c r="H19" i="4" s="1"/>
  <c r="G20" i="4"/>
  <c r="G21" i="4"/>
  <c r="G22" i="4"/>
  <c r="G23" i="4"/>
  <c r="G3" i="4"/>
  <c r="H8" i="4"/>
  <c r="H9" i="4"/>
  <c r="H10" i="4"/>
  <c r="H16" i="4"/>
  <c r="H17" i="4"/>
  <c r="H18" i="4"/>
  <c r="G24" i="4"/>
  <c r="H24" i="4" s="1"/>
  <c r="F3" i="4"/>
  <c r="H3" i="4"/>
  <c r="F4" i="4"/>
  <c r="H4" i="4"/>
  <c r="F5" i="4"/>
  <c r="F6" i="4"/>
  <c r="H6" i="4"/>
  <c r="F7" i="4"/>
  <c r="F8" i="4"/>
  <c r="F9" i="4"/>
  <c r="F10" i="4"/>
  <c r="F11" i="4"/>
  <c r="F12" i="4"/>
  <c r="H12" i="4"/>
  <c r="F13" i="4"/>
  <c r="F14" i="4"/>
  <c r="H14" i="4"/>
  <c r="F15" i="4"/>
  <c r="F16" i="4"/>
  <c r="F17" i="4"/>
  <c r="F18" i="4"/>
  <c r="F19" i="4"/>
  <c r="F20" i="4"/>
  <c r="H20" i="4"/>
  <c r="F21" i="4"/>
  <c r="H21" i="4"/>
  <c r="F22" i="4"/>
  <c r="H22" i="4"/>
  <c r="F23" i="4"/>
  <c r="H23" i="4"/>
  <c r="F24" i="4"/>
  <c r="F19" i="10"/>
  <c r="F18" i="10"/>
  <c r="F17" i="10"/>
  <c r="F16" i="10"/>
  <c r="F15" i="10"/>
  <c r="F14" i="10"/>
  <c r="H13" i="10"/>
  <c r="F13" i="10"/>
  <c r="H12" i="10"/>
  <c r="F12" i="10"/>
  <c r="F11" i="10"/>
  <c r="F10" i="10"/>
  <c r="F9" i="10"/>
  <c r="H8" i="10"/>
  <c r="F8" i="10"/>
  <c r="F7" i="10"/>
  <c r="F6" i="10"/>
  <c r="H5" i="10"/>
  <c r="F5" i="10"/>
  <c r="H4" i="10"/>
  <c r="F4" i="10"/>
  <c r="F3" i="10"/>
  <c r="F18" i="9"/>
  <c r="F17" i="9"/>
  <c r="F16" i="9"/>
  <c r="F15" i="9"/>
  <c r="H14" i="9"/>
  <c r="F14" i="9"/>
  <c r="F13" i="9"/>
  <c r="F12" i="9"/>
  <c r="H11" i="9"/>
  <c r="F11" i="9"/>
  <c r="F10" i="9"/>
  <c r="F9" i="9"/>
  <c r="F8" i="9"/>
  <c r="H7" i="9"/>
  <c r="F7" i="9"/>
  <c r="H6" i="9"/>
  <c r="F6" i="9"/>
  <c r="F5" i="9"/>
  <c r="F4" i="9"/>
  <c r="F3" i="9"/>
  <c r="F18" i="8"/>
  <c r="F17" i="8"/>
  <c r="H16" i="8"/>
  <c r="F16" i="8"/>
  <c r="H15" i="8"/>
  <c r="F15" i="8"/>
  <c r="H14" i="8"/>
  <c r="F14" i="8"/>
  <c r="H13" i="8"/>
  <c r="F13" i="8"/>
  <c r="H12" i="8"/>
  <c r="F12" i="8"/>
  <c r="H11" i="8"/>
  <c r="F11" i="8"/>
  <c r="F10" i="8"/>
  <c r="F9" i="8"/>
  <c r="F8" i="8"/>
  <c r="H7" i="8"/>
  <c r="F7" i="8"/>
  <c r="H6" i="8"/>
  <c r="F6" i="8"/>
  <c r="F5" i="8"/>
  <c r="H4" i="8"/>
  <c r="F4" i="8"/>
  <c r="F3" i="8"/>
  <c r="F12" i="7"/>
  <c r="F11" i="7"/>
  <c r="F10" i="7"/>
  <c r="F9" i="7"/>
  <c r="F8" i="7"/>
  <c r="H7" i="7"/>
  <c r="F7" i="7"/>
  <c r="H6" i="7"/>
  <c r="F6" i="7"/>
  <c r="F5" i="7"/>
  <c r="H4" i="7"/>
  <c r="F4" i="7"/>
  <c r="F3" i="7"/>
  <c r="F25" i="6"/>
  <c r="H24" i="6"/>
  <c r="F24" i="6"/>
  <c r="H23" i="6"/>
  <c r="F23" i="6"/>
  <c r="H22" i="6"/>
  <c r="F22" i="6"/>
  <c r="H21" i="6"/>
  <c r="F21" i="6"/>
  <c r="H20" i="6"/>
  <c r="F20" i="6"/>
  <c r="H19" i="6"/>
  <c r="F19" i="6"/>
  <c r="F18" i="6"/>
  <c r="F17" i="6"/>
  <c r="F16" i="6"/>
  <c r="H15" i="6"/>
  <c r="F15" i="6"/>
  <c r="H14" i="6"/>
  <c r="F14" i="6"/>
  <c r="H13" i="6"/>
  <c r="F13" i="6"/>
  <c r="H12" i="6"/>
  <c r="F12" i="6"/>
  <c r="F11" i="6"/>
  <c r="F10" i="6"/>
  <c r="F9" i="6"/>
  <c r="F8" i="6"/>
  <c r="H7" i="6"/>
  <c r="F7" i="6"/>
  <c r="H6" i="6"/>
  <c r="F6" i="6"/>
  <c r="F5" i="6"/>
  <c r="H4" i="6"/>
  <c r="F4" i="6"/>
  <c r="F3" i="6"/>
  <c r="H1" i="2"/>
  <c r="F1" i="2"/>
  <c r="C1" i="2"/>
  <c r="H4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3" i="2"/>
  <c r="G4" i="2"/>
  <c r="G5" i="2"/>
  <c r="H5" i="2" s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3" i="2"/>
  <c r="F1" i="10" l="1"/>
  <c r="H1" i="10"/>
  <c r="F1" i="9"/>
  <c r="H1" i="9"/>
  <c r="F1" i="8"/>
  <c r="H1" i="8"/>
  <c r="F1" i="7"/>
  <c r="H1" i="7"/>
  <c r="F1" i="6"/>
  <c r="H1" i="6"/>
  <c r="F1" i="5"/>
  <c r="H1" i="5"/>
  <c r="F1" i="4"/>
  <c r="H1" i="4"/>
  <c r="C1" i="4"/>
</calcChain>
</file>

<file path=xl/sharedStrings.xml><?xml version="1.0" encoding="utf-8"?>
<sst xmlns="http://schemas.openxmlformats.org/spreadsheetml/2006/main" count="1283" uniqueCount="284">
  <si>
    <t>INSTITUDE FEE MANAGEMENT SYSTEM</t>
  </si>
  <si>
    <t>Cloud Computing</t>
  </si>
  <si>
    <t>Student Name</t>
  </si>
  <si>
    <t>Total Fee Receive</t>
  </si>
  <si>
    <t>Roll No.</t>
  </si>
  <si>
    <t>Total No. of Student &amp; Fee</t>
  </si>
  <si>
    <t>DOB</t>
  </si>
  <si>
    <t>Monthly Fee</t>
  </si>
  <si>
    <t>Total Paid Monthly</t>
  </si>
  <si>
    <t>MAY</t>
  </si>
  <si>
    <t xml:space="preserve">Total Fee Due </t>
  </si>
  <si>
    <t>FEB</t>
  </si>
  <si>
    <t>MAR</t>
  </si>
  <si>
    <t>APR</t>
  </si>
  <si>
    <t>JUN</t>
  </si>
  <si>
    <t>JUL</t>
  </si>
  <si>
    <t>AUG</t>
  </si>
  <si>
    <t>C1-001</t>
  </si>
  <si>
    <t>C1-002</t>
  </si>
  <si>
    <t>C1-003</t>
  </si>
  <si>
    <t>C1-004</t>
  </si>
  <si>
    <t>C1-005</t>
  </si>
  <si>
    <t>C1-006</t>
  </si>
  <si>
    <t>C1-007</t>
  </si>
  <si>
    <t>C1-008</t>
  </si>
  <si>
    <t>C1-009</t>
  </si>
  <si>
    <t>C1-010</t>
  </si>
  <si>
    <t>C1-011</t>
  </si>
  <si>
    <t>C1-012</t>
  </si>
  <si>
    <t>C1-013</t>
  </si>
  <si>
    <t>C1-014</t>
  </si>
  <si>
    <t>C1-015</t>
  </si>
  <si>
    <t>C1-016</t>
  </si>
  <si>
    <t>C1-017</t>
  </si>
  <si>
    <t>C1-018</t>
  </si>
  <si>
    <t>C1-019</t>
  </si>
  <si>
    <t>C1-020</t>
  </si>
  <si>
    <t>C1-021</t>
  </si>
  <si>
    <t>C1-022</t>
  </si>
  <si>
    <t>C1-023</t>
  </si>
  <si>
    <t>Aarav Sharma</t>
  </si>
  <si>
    <t>Aditi Patil</t>
  </si>
  <si>
    <t>Rohan Mehta</t>
  </si>
  <si>
    <t>Sneha Kulkarni</t>
  </si>
  <si>
    <t>Kunal Verma</t>
  </si>
  <si>
    <t>Pooja Deshmukh</t>
  </si>
  <si>
    <t>Sarthak Joshi</t>
  </si>
  <si>
    <t>Neha Chavan</t>
  </si>
  <si>
    <t>Aditya Singh</t>
  </si>
  <si>
    <t>Riya Nair</t>
  </si>
  <si>
    <t>Aman Gupta</t>
  </si>
  <si>
    <t>Kavya Iyer</t>
  </si>
  <si>
    <t>Nikhil Pawar</t>
  </si>
  <si>
    <t>Priya Malhotra</t>
  </si>
  <si>
    <t>Yash Thakur</t>
  </si>
  <si>
    <t>Anjali Bhosale</t>
  </si>
  <si>
    <t>Harsh Jain</t>
  </si>
  <si>
    <t>Pankaj More</t>
  </si>
  <si>
    <t>Simran Kaur</t>
  </si>
  <si>
    <t>Akash Yadav</t>
  </si>
  <si>
    <t>Tanvi Desai</t>
  </si>
  <si>
    <t>Rahul Mishra</t>
  </si>
  <si>
    <t>Nisha Reddy</t>
  </si>
  <si>
    <t>Varun Kapoor</t>
  </si>
  <si>
    <t>Shreya Gokhale</t>
  </si>
  <si>
    <t>Mohit Soni</t>
  </si>
  <si>
    <t>Isha Pandey</t>
  </si>
  <si>
    <t>Sagar Shinde</t>
  </si>
  <si>
    <t>Pallavi Kulkarni</t>
  </si>
  <si>
    <t>Arjun Malviya</t>
  </si>
  <si>
    <t>Ritu Saxena</t>
  </si>
  <si>
    <t>Deepak Tiwari</t>
  </si>
  <si>
    <t>Ananya Roy</t>
  </si>
  <si>
    <t>Manish Rathod</t>
  </si>
  <si>
    <t>Priti Naik</t>
  </si>
  <si>
    <t>Sahil Bansal</t>
  </si>
  <si>
    <t>Meenal Kapse</t>
  </si>
  <si>
    <t>Vinayak Patil</t>
  </si>
  <si>
    <t>Roshni Shah</t>
  </si>
  <si>
    <t>Nitin Chaudhary</t>
  </si>
  <si>
    <t>Komal Jadhav</t>
  </si>
  <si>
    <t>Suresh Yadav</t>
  </si>
  <si>
    <t>Divya Arora</t>
  </si>
  <si>
    <t>Pranav Kuldeep</t>
  </si>
  <si>
    <t>Snehal Joshi</t>
  </si>
  <si>
    <t>Karan Bhat</t>
  </si>
  <si>
    <t>Rupal Solanki</t>
  </si>
  <si>
    <t>Omkar Sawant</t>
  </si>
  <si>
    <t>Tanuja More</t>
  </si>
  <si>
    <t>Abhishek Rana</t>
  </si>
  <si>
    <t>Monika Aggarwal</t>
  </si>
  <si>
    <t>Shubham Kulkarni</t>
  </si>
  <si>
    <t>Nandini Chatterjee</t>
  </si>
  <si>
    <t>Rohit Borse</t>
  </si>
  <si>
    <t>Piyush Tripathi</t>
  </si>
  <si>
    <t>Ankita Salunkhe</t>
  </si>
  <si>
    <t>Sumeet Gawande</t>
  </si>
  <si>
    <t>Alka Verma</t>
  </si>
  <si>
    <t>Tejaswini Patil</t>
  </si>
  <si>
    <t>Vikas Shetty</t>
  </si>
  <si>
    <t>Swati Kulkarni</t>
  </si>
  <si>
    <t>Anil Rawat</t>
  </si>
  <si>
    <t>Kriti Malviya</t>
  </si>
  <si>
    <t>Nayan Joshi</t>
  </si>
  <si>
    <t>Reema Pillai</t>
  </si>
  <si>
    <t>Pratik Deshpande</t>
  </si>
  <si>
    <t>Shraddha Patankar</t>
  </si>
  <si>
    <t>Sohan Negi</t>
  </si>
  <si>
    <t>Aishwarya Kulkarni</t>
  </si>
  <si>
    <t>Hemant Choudhary</t>
  </si>
  <si>
    <t>Bhavana Rao</t>
  </si>
  <si>
    <t>Nilesh Pawar</t>
  </si>
  <si>
    <t>Poonam Sethi</t>
  </si>
  <si>
    <t>Akshay Shukla</t>
  </si>
  <si>
    <t>Rachana Kamat</t>
  </si>
  <si>
    <t>Siddharth Kulkarni</t>
  </si>
  <si>
    <t>Mansi Jaiswal</t>
  </si>
  <si>
    <t>Tushar Kadam</t>
  </si>
  <si>
    <t>Payal Gupta</t>
  </si>
  <si>
    <t>Dinesh Tomar</t>
  </si>
  <si>
    <t>Pankhuri Mishra</t>
  </si>
  <si>
    <t>Ritesh Malhotra</t>
  </si>
  <si>
    <t>Tanmay Kulkarni</t>
  </si>
  <si>
    <t>Kirti Sable</t>
  </si>
  <si>
    <t>Raghav Bedi</t>
  </si>
  <si>
    <t>Sejal Mehta</t>
  </si>
  <si>
    <t>Parth Shinde</t>
  </si>
  <si>
    <t>Neelam Rathore</t>
  </si>
  <si>
    <t>Rutuja Patil</t>
  </si>
  <si>
    <t>Shailesh Gupta</t>
  </si>
  <si>
    <t>Aniket Jadhav</t>
  </si>
  <si>
    <t>Pooja Arvind</t>
  </si>
  <si>
    <t>Nupur Bansal</t>
  </si>
  <si>
    <t>Sameer Shaikh</t>
  </si>
  <si>
    <t>Kavita Joshi</t>
  </si>
  <si>
    <t>Sandeep Patole</t>
  </si>
  <si>
    <t>Riya Sengupta</t>
  </si>
  <si>
    <t>Mahesh Koli</t>
  </si>
  <si>
    <t>Saloni Trivedi</t>
  </si>
  <si>
    <t>Ajay Narayan</t>
  </si>
  <si>
    <t>Total Due Month</t>
  </si>
  <si>
    <t>Paid</t>
  </si>
  <si>
    <t>Due</t>
  </si>
  <si>
    <t>C2-001</t>
  </si>
  <si>
    <t>C2-002</t>
  </si>
  <si>
    <t>C2-003</t>
  </si>
  <si>
    <t>C2-004</t>
  </si>
  <si>
    <t>C2-005</t>
  </si>
  <si>
    <t>C2-006</t>
  </si>
  <si>
    <t>C2-007</t>
  </si>
  <si>
    <t>C2-008</t>
  </si>
  <si>
    <t>C2-009</t>
  </si>
  <si>
    <t>C2-010</t>
  </si>
  <si>
    <t>C2-011</t>
  </si>
  <si>
    <t>C2-012</t>
  </si>
  <si>
    <t>C2-013</t>
  </si>
  <si>
    <t>C2-014</t>
  </si>
  <si>
    <t>C2-015</t>
  </si>
  <si>
    <t>C2-016</t>
  </si>
  <si>
    <t>C2-017</t>
  </si>
  <si>
    <t>C2-018</t>
  </si>
  <si>
    <t>C2-019</t>
  </si>
  <si>
    <t>C2-020</t>
  </si>
  <si>
    <t>C2-021</t>
  </si>
  <si>
    <t>C2-022</t>
  </si>
  <si>
    <t>C3-001</t>
  </si>
  <si>
    <t>C3-002</t>
  </si>
  <si>
    <t>C3-003</t>
  </si>
  <si>
    <t>C3-004</t>
  </si>
  <si>
    <t>C3-005</t>
  </si>
  <si>
    <t>C3-006</t>
  </si>
  <si>
    <t>C3-007</t>
  </si>
  <si>
    <t>C3-008</t>
  </si>
  <si>
    <t>C3-009</t>
  </si>
  <si>
    <t>C3-010</t>
  </si>
  <si>
    <t>C3-011</t>
  </si>
  <si>
    <t>C3-012</t>
  </si>
  <si>
    <t>C3-013</t>
  </si>
  <si>
    <t>C3-014</t>
  </si>
  <si>
    <t>C3-015</t>
  </si>
  <si>
    <t>C3-016</t>
  </si>
  <si>
    <t>SEP</t>
  </si>
  <si>
    <t>C4-001</t>
  </si>
  <si>
    <t>C4-002</t>
  </si>
  <si>
    <t>C4-003</t>
  </si>
  <si>
    <t>C4-004</t>
  </si>
  <si>
    <t>C4-005</t>
  </si>
  <si>
    <t>C4-006</t>
  </si>
  <si>
    <t>C4-007</t>
  </si>
  <si>
    <t>C4-008</t>
  </si>
  <si>
    <t>C4-009</t>
  </si>
  <si>
    <t>C4-010</t>
  </si>
  <si>
    <t>C4-011</t>
  </si>
  <si>
    <t>C4-012</t>
  </si>
  <si>
    <t>C4-013</t>
  </si>
  <si>
    <t>C4-014</t>
  </si>
  <si>
    <t>C4-015</t>
  </si>
  <si>
    <t>C4-016</t>
  </si>
  <si>
    <t>C4-017</t>
  </si>
  <si>
    <t>C4-018</t>
  </si>
  <si>
    <t>C4-019</t>
  </si>
  <si>
    <t>C4-020</t>
  </si>
  <si>
    <t>C4-021</t>
  </si>
  <si>
    <t>C4-022</t>
  </si>
  <si>
    <t>C4-023</t>
  </si>
  <si>
    <t>C4-024</t>
  </si>
  <si>
    <t>C4-025</t>
  </si>
  <si>
    <t>C4-026</t>
  </si>
  <si>
    <t>C4-027</t>
  </si>
  <si>
    <t>C5-001</t>
  </si>
  <si>
    <t>C5-002</t>
  </si>
  <si>
    <t>C5-003</t>
  </si>
  <si>
    <t>C5-004</t>
  </si>
  <si>
    <t>C5-005</t>
  </si>
  <si>
    <t>C5-006</t>
  </si>
  <si>
    <t>C5-007</t>
  </si>
  <si>
    <t>C5-008</t>
  </si>
  <si>
    <t>C5-009</t>
  </si>
  <si>
    <t>C5-010</t>
  </si>
  <si>
    <t>C6-001</t>
  </si>
  <si>
    <t>C6-002</t>
  </si>
  <si>
    <t>C6-003</t>
  </si>
  <si>
    <t>C6-004</t>
  </si>
  <si>
    <t>C6-005</t>
  </si>
  <si>
    <t>C6-006</t>
  </si>
  <si>
    <t>C6-007</t>
  </si>
  <si>
    <t>C6-008</t>
  </si>
  <si>
    <t>C6-009</t>
  </si>
  <si>
    <t>C6-010</t>
  </si>
  <si>
    <t>C6-011</t>
  </si>
  <si>
    <t>C6-012</t>
  </si>
  <si>
    <t>C6-013</t>
  </si>
  <si>
    <t>C6-014</t>
  </si>
  <si>
    <t>C6-015</t>
  </si>
  <si>
    <t>C6-016</t>
  </si>
  <si>
    <t>C7-001</t>
  </si>
  <si>
    <t>C7-002</t>
  </si>
  <si>
    <t>C7-003</t>
  </si>
  <si>
    <t>C7-004</t>
  </si>
  <si>
    <t>C7-005</t>
  </si>
  <si>
    <t>C7-006</t>
  </si>
  <si>
    <t>C7-007</t>
  </si>
  <si>
    <t>C7-008</t>
  </si>
  <si>
    <t>C7-009</t>
  </si>
  <si>
    <t>C7-010</t>
  </si>
  <si>
    <t>C7-011</t>
  </si>
  <si>
    <t>C7-012</t>
  </si>
  <si>
    <t>C7-013</t>
  </si>
  <si>
    <t>C7-014</t>
  </si>
  <si>
    <t>C7-015</t>
  </si>
  <si>
    <t>C7-016</t>
  </si>
  <si>
    <t>C8-001</t>
  </si>
  <si>
    <t>C8-002</t>
  </si>
  <si>
    <t>C8-003</t>
  </si>
  <si>
    <t>C8-004</t>
  </si>
  <si>
    <t>C8-005</t>
  </si>
  <si>
    <t>C8-006</t>
  </si>
  <si>
    <t>C8-007</t>
  </si>
  <si>
    <t>C8-008</t>
  </si>
  <si>
    <t>C8-009</t>
  </si>
  <si>
    <t>C8-010</t>
  </si>
  <si>
    <t>C8-011</t>
  </si>
  <si>
    <t>C8-012</t>
  </si>
  <si>
    <t>C8-013</t>
  </si>
  <si>
    <t>C8-014</t>
  </si>
  <si>
    <t>C8-015</t>
  </si>
  <si>
    <t>C8-016</t>
  </si>
  <si>
    <t>C8-017</t>
  </si>
  <si>
    <t>Data Analyst</t>
  </si>
  <si>
    <t>Dashboard</t>
  </si>
  <si>
    <t>Machine Learning</t>
  </si>
  <si>
    <t>Cyber Security</t>
  </si>
  <si>
    <t>DEV-OPS</t>
  </si>
  <si>
    <t>Full Stack Development</t>
  </si>
  <si>
    <t>Python</t>
  </si>
  <si>
    <t>Total Fee :</t>
  </si>
  <si>
    <t>Total Students :</t>
  </si>
  <si>
    <t>Enter Class :</t>
  </si>
  <si>
    <t>Enter Roll No. :</t>
  </si>
  <si>
    <t>Total Fee Receive :</t>
  </si>
  <si>
    <t>Total Fee Due :</t>
  </si>
  <si>
    <t>Student Name :</t>
  </si>
  <si>
    <t>Total  Due :</t>
  </si>
  <si>
    <t xml:space="preserve">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</si>
</sst>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6" fillId="3" borderId="0" xfId="1" applyFill="1" applyAlignment="1">
      <alignment horizontal="center" vertical="center"/>
    </xf>
    <xf numFmtId="0" fontId="0" fillId="2" borderId="0" xfId="0" applyFill="1" applyBorder="1"/>
    <xf numFmtId="0" fontId="7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2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Machine Learning'!A1"/><Relationship Id="rId3" Type="http://schemas.openxmlformats.org/officeDocument/2006/relationships/hyperlink" Target="#'Full Stack Development'!A1"/><Relationship Id="rId7" Type="http://schemas.openxmlformats.org/officeDocument/2006/relationships/hyperlink" Target="#'Data Analyst'!A1"/><Relationship Id="rId2" Type="http://schemas.openxmlformats.org/officeDocument/2006/relationships/hyperlink" Target="#'Cyber Security'!A1"/><Relationship Id="rId1" Type="http://schemas.openxmlformats.org/officeDocument/2006/relationships/hyperlink" Target="#'Cloud Computing'!A1"/><Relationship Id="rId6" Type="http://schemas.openxmlformats.org/officeDocument/2006/relationships/hyperlink" Target="#AI!A1"/><Relationship Id="rId5" Type="http://schemas.openxmlformats.org/officeDocument/2006/relationships/hyperlink" Target="#'DEV-OPS'!A1"/><Relationship Id="rId4" Type="http://schemas.openxmlformats.org/officeDocument/2006/relationships/hyperlink" Target="#Pytho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2</xdr:row>
      <xdr:rowOff>152400</xdr:rowOff>
    </xdr:from>
    <xdr:to>
      <xdr:col>6</xdr:col>
      <xdr:colOff>137160</xdr:colOff>
      <xdr:row>5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7F38184-6D55-1DCA-CFD5-B2193C5A419E}"/>
            </a:ext>
          </a:extLst>
        </xdr:cNvPr>
        <xdr:cNvSpPr/>
      </xdr:nvSpPr>
      <xdr:spPr>
        <a:xfrm>
          <a:off x="2125980" y="914400"/>
          <a:ext cx="1668780" cy="41910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Classes</a:t>
          </a:r>
        </a:p>
      </xdr:txBody>
    </xdr:sp>
    <xdr:clientData/>
  </xdr:twoCellAnchor>
  <xdr:twoCellAnchor>
    <xdr:from>
      <xdr:col>10</xdr:col>
      <xdr:colOff>571500</xdr:colOff>
      <xdr:row>1</xdr:row>
      <xdr:rowOff>99060</xdr:rowOff>
    </xdr:from>
    <xdr:to>
      <xdr:col>10</xdr:col>
      <xdr:colOff>579120</xdr:colOff>
      <xdr:row>26</xdr:row>
      <xdr:rowOff>160020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83A29ED-6CCD-D3BD-4693-51F704E527E0}"/>
            </a:ext>
          </a:extLst>
        </xdr:cNvPr>
        <xdr:cNvCxnSpPr/>
      </xdr:nvCxnSpPr>
      <xdr:spPr>
        <a:xfrm>
          <a:off x="6667500" y="678180"/>
          <a:ext cx="7620" cy="463296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518160</xdr:colOff>
      <xdr:row>7</xdr:row>
      <xdr:rowOff>106680</xdr:rowOff>
    </xdr:from>
    <xdr:to>
      <xdr:col>4</xdr:col>
      <xdr:colOff>548640</xdr:colOff>
      <xdr:row>21</xdr:row>
      <xdr:rowOff>152400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A35CA493-0910-1198-B605-ED4850072FAD}"/>
            </a:ext>
          </a:extLst>
        </xdr:cNvPr>
        <xdr:cNvCxnSpPr/>
      </xdr:nvCxnSpPr>
      <xdr:spPr>
        <a:xfrm>
          <a:off x="2956560" y="1783080"/>
          <a:ext cx="30480" cy="260604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358140</xdr:colOff>
      <xdr:row>7</xdr:row>
      <xdr:rowOff>91440</xdr:rowOff>
    </xdr:from>
    <xdr:to>
      <xdr:col>3</xdr:col>
      <xdr:colOff>502920</xdr:colOff>
      <xdr:row>9</xdr:row>
      <xdr:rowOff>144780</xdr:rowOff>
    </xdr:to>
    <xdr:sp macro="" textlink="">
      <xdr:nvSpPr>
        <xdr:cNvPr id="21" name="Rectangle: Rounded Corner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8AEF9C-3B08-4F63-AAD6-F4B5674F24D1}"/>
            </a:ext>
          </a:extLst>
        </xdr:cNvPr>
        <xdr:cNvSpPr/>
      </xdr:nvSpPr>
      <xdr:spPr>
        <a:xfrm>
          <a:off x="358140" y="1767840"/>
          <a:ext cx="197358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Cloud Computing</a:t>
          </a:r>
        </a:p>
      </xdr:txBody>
    </xdr:sp>
    <xdr:clientData/>
  </xdr:twoCellAnchor>
  <xdr:twoCellAnchor>
    <xdr:from>
      <xdr:col>0</xdr:col>
      <xdr:colOff>373380</xdr:colOff>
      <xdr:row>14</xdr:row>
      <xdr:rowOff>160020</xdr:rowOff>
    </xdr:from>
    <xdr:to>
      <xdr:col>3</xdr:col>
      <xdr:colOff>487680</xdr:colOff>
      <xdr:row>17</xdr:row>
      <xdr:rowOff>30480</xdr:rowOff>
    </xdr:to>
    <xdr:sp macro="" textlink="">
      <xdr:nvSpPr>
        <xdr:cNvPr id="22" name="Rectangle: Rounded Corners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B0CE4E-94E4-4359-AB35-52127E25FC27}"/>
            </a:ext>
          </a:extLst>
        </xdr:cNvPr>
        <xdr:cNvSpPr/>
      </xdr:nvSpPr>
      <xdr:spPr>
        <a:xfrm>
          <a:off x="373380" y="3116580"/>
          <a:ext cx="194310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Cyber</a:t>
          </a:r>
          <a:r>
            <a:rPr lang="en-IN" sz="1600" baseline="0"/>
            <a:t> Security</a:t>
          </a:r>
          <a:endParaRPr lang="en-IN" sz="1600"/>
        </a:p>
      </xdr:txBody>
    </xdr:sp>
    <xdr:clientData/>
  </xdr:twoCellAnchor>
  <xdr:twoCellAnchor>
    <xdr:from>
      <xdr:col>0</xdr:col>
      <xdr:colOff>365760</xdr:colOff>
      <xdr:row>18</xdr:row>
      <xdr:rowOff>68580</xdr:rowOff>
    </xdr:from>
    <xdr:to>
      <xdr:col>3</xdr:col>
      <xdr:colOff>502920</xdr:colOff>
      <xdr:row>20</xdr:row>
      <xdr:rowOff>121920</xdr:rowOff>
    </xdr:to>
    <xdr:sp macro="" textlink="">
      <xdr:nvSpPr>
        <xdr:cNvPr id="23" name="Rectangle: Rounded Corners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647E77-2179-4CA5-9599-BC193A6F2C99}"/>
            </a:ext>
          </a:extLst>
        </xdr:cNvPr>
        <xdr:cNvSpPr/>
      </xdr:nvSpPr>
      <xdr:spPr>
        <a:xfrm>
          <a:off x="365760" y="3756660"/>
          <a:ext cx="196596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Full Stack Development</a:t>
          </a:r>
        </a:p>
      </xdr:txBody>
    </xdr:sp>
    <xdr:clientData/>
  </xdr:twoCellAnchor>
  <xdr:twoCellAnchor>
    <xdr:from>
      <xdr:col>6</xdr:col>
      <xdr:colOff>45720</xdr:colOff>
      <xdr:row>18</xdr:row>
      <xdr:rowOff>114300</xdr:rowOff>
    </xdr:from>
    <xdr:to>
      <xdr:col>9</xdr:col>
      <xdr:colOff>167640</xdr:colOff>
      <xdr:row>20</xdr:row>
      <xdr:rowOff>167640</xdr:rowOff>
    </xdr:to>
    <xdr:sp macro="" textlink="">
      <xdr:nvSpPr>
        <xdr:cNvPr id="24" name="Rectangle: Rounded Corners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37BAC3-8299-4861-A79B-F47383F417CA}"/>
            </a:ext>
          </a:extLst>
        </xdr:cNvPr>
        <xdr:cNvSpPr/>
      </xdr:nvSpPr>
      <xdr:spPr>
        <a:xfrm>
          <a:off x="3703320" y="3802380"/>
          <a:ext cx="195072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Python</a:t>
          </a:r>
        </a:p>
      </xdr:txBody>
    </xdr:sp>
    <xdr:clientData/>
  </xdr:twoCellAnchor>
  <xdr:twoCellAnchor>
    <xdr:from>
      <xdr:col>6</xdr:col>
      <xdr:colOff>60960</xdr:colOff>
      <xdr:row>14</xdr:row>
      <xdr:rowOff>175260</xdr:rowOff>
    </xdr:from>
    <xdr:to>
      <xdr:col>9</xdr:col>
      <xdr:colOff>152400</xdr:colOff>
      <xdr:row>17</xdr:row>
      <xdr:rowOff>45720</xdr:rowOff>
    </xdr:to>
    <xdr:sp macro="" textlink="">
      <xdr:nvSpPr>
        <xdr:cNvPr id="25" name="Rectangle: Rounded Corners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59FAFE6-15A7-443B-82EB-D0B130CF8C72}"/>
            </a:ext>
          </a:extLst>
        </xdr:cNvPr>
        <xdr:cNvSpPr/>
      </xdr:nvSpPr>
      <xdr:spPr>
        <a:xfrm>
          <a:off x="3718560" y="3131820"/>
          <a:ext cx="192024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DEV-OPS</a:t>
          </a:r>
        </a:p>
      </xdr:txBody>
    </xdr:sp>
    <xdr:clientData/>
  </xdr:twoCellAnchor>
  <xdr:twoCellAnchor>
    <xdr:from>
      <xdr:col>6</xdr:col>
      <xdr:colOff>60960</xdr:colOff>
      <xdr:row>11</xdr:row>
      <xdr:rowOff>76200</xdr:rowOff>
    </xdr:from>
    <xdr:to>
      <xdr:col>9</xdr:col>
      <xdr:colOff>152400</xdr:colOff>
      <xdr:row>13</xdr:row>
      <xdr:rowOff>129540</xdr:rowOff>
    </xdr:to>
    <xdr:sp macro="" textlink="">
      <xdr:nvSpPr>
        <xdr:cNvPr id="26" name="Rectangle: Rounded Corners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085F7BC-715A-4E57-A974-77B6F8925540}"/>
            </a:ext>
          </a:extLst>
        </xdr:cNvPr>
        <xdr:cNvSpPr/>
      </xdr:nvSpPr>
      <xdr:spPr>
        <a:xfrm>
          <a:off x="3718560" y="2484120"/>
          <a:ext cx="192024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AI</a:t>
          </a:r>
        </a:p>
      </xdr:txBody>
    </xdr:sp>
    <xdr:clientData/>
  </xdr:twoCellAnchor>
  <xdr:twoCellAnchor>
    <xdr:from>
      <xdr:col>6</xdr:col>
      <xdr:colOff>68580</xdr:colOff>
      <xdr:row>7</xdr:row>
      <xdr:rowOff>129540</xdr:rowOff>
    </xdr:from>
    <xdr:to>
      <xdr:col>9</xdr:col>
      <xdr:colOff>152400</xdr:colOff>
      <xdr:row>10</xdr:row>
      <xdr:rowOff>0</xdr:rowOff>
    </xdr:to>
    <xdr:sp macro="" textlink="">
      <xdr:nvSpPr>
        <xdr:cNvPr id="27" name="Rectangle: Rounded Corners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2C9B3B-DEAC-49EB-8FF3-09BFDA4CCB1D}"/>
            </a:ext>
          </a:extLst>
        </xdr:cNvPr>
        <xdr:cNvSpPr/>
      </xdr:nvSpPr>
      <xdr:spPr>
        <a:xfrm>
          <a:off x="3726180" y="1805940"/>
          <a:ext cx="191262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Data Analyst</a:t>
          </a:r>
        </a:p>
      </xdr:txBody>
    </xdr:sp>
    <xdr:clientData/>
  </xdr:twoCellAnchor>
  <xdr:twoCellAnchor>
    <xdr:from>
      <xdr:col>0</xdr:col>
      <xdr:colOff>373380</xdr:colOff>
      <xdr:row>11</xdr:row>
      <xdr:rowOff>15240</xdr:rowOff>
    </xdr:from>
    <xdr:to>
      <xdr:col>3</xdr:col>
      <xdr:colOff>510540</xdr:colOff>
      <xdr:row>13</xdr:row>
      <xdr:rowOff>68580</xdr:rowOff>
    </xdr:to>
    <xdr:sp macro="" textlink="">
      <xdr:nvSpPr>
        <xdr:cNvPr id="29" name="Rectangle: Rounded Corners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6270949-2093-4550-AD9C-A41B461757C5}"/>
            </a:ext>
          </a:extLst>
        </xdr:cNvPr>
        <xdr:cNvSpPr/>
      </xdr:nvSpPr>
      <xdr:spPr>
        <a:xfrm>
          <a:off x="373380" y="2423160"/>
          <a:ext cx="196596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Machine learning</a:t>
          </a:r>
        </a:p>
      </xdr:txBody>
    </xdr:sp>
    <xdr:clientData/>
  </xdr:twoCellAnchor>
  <xdr:twoCellAnchor>
    <xdr:from>
      <xdr:col>13</xdr:col>
      <xdr:colOff>7620</xdr:colOff>
      <xdr:row>2</xdr:row>
      <xdr:rowOff>152400</xdr:rowOff>
    </xdr:from>
    <xdr:to>
      <xdr:col>21</xdr:col>
      <xdr:colOff>7620</xdr:colOff>
      <xdr:row>5</xdr:row>
      <xdr:rowOff>22860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18C0E470-2A2E-4569-B82A-43E17E5FDB02}"/>
            </a:ext>
          </a:extLst>
        </xdr:cNvPr>
        <xdr:cNvSpPr/>
      </xdr:nvSpPr>
      <xdr:spPr>
        <a:xfrm>
          <a:off x="7932420" y="914400"/>
          <a:ext cx="4876800" cy="41910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Class</a:t>
          </a:r>
          <a:r>
            <a:rPr lang="en-IN" sz="2000" baseline="0"/>
            <a:t> and Student Wise Fee Details</a:t>
          </a:r>
          <a:endParaRPr lang="en-IN" sz="2000"/>
        </a:p>
      </xdr:txBody>
    </xdr:sp>
    <xdr:clientData/>
  </xdr:twoCellAnchor>
  <xdr:twoCellAnchor>
    <xdr:from>
      <xdr:col>16</xdr:col>
      <xdr:colOff>365760</xdr:colOff>
      <xdr:row>7</xdr:row>
      <xdr:rowOff>0</xdr:rowOff>
    </xdr:from>
    <xdr:to>
      <xdr:col>16</xdr:col>
      <xdr:colOff>396240</xdr:colOff>
      <xdr:row>21</xdr:row>
      <xdr:rowOff>45720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7A3B3DD-6D8E-46BF-93FA-4CE0F201D52B}"/>
            </a:ext>
          </a:extLst>
        </xdr:cNvPr>
        <xdr:cNvCxnSpPr/>
      </xdr:nvCxnSpPr>
      <xdr:spPr>
        <a:xfrm>
          <a:off x="10843260" y="1676400"/>
          <a:ext cx="30480" cy="281940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02DD0-FCBE-467E-BE36-BB16333A6B75}" name="Table1" displayName="Table1" ref="A2:O25" totalsRowShown="0" headerRowDxfId="124" dataDxfId="123">
  <autoFilter ref="A2:O25" xr:uid="{48102DD0-FCBE-467E-BE36-BB16333A6B75}"/>
  <tableColumns count="15">
    <tableColumn id="1" xr3:uid="{2D17D9FA-A74C-4C93-BA4D-1342E1887D2F}" name="Roll No."/>
    <tableColumn id="2" xr3:uid="{32AFA1EB-D99A-485B-9BEE-92C792F107F5}" name="Student Name" dataDxfId="122"/>
    <tableColumn id="3" xr3:uid="{B34F9E62-B4F5-4E68-8267-587E87B397BA}" name="DOB" dataDxfId="121"/>
    <tableColumn id="4" xr3:uid="{1C000A33-B3D0-4815-A11F-058C23BFA63C}" name="Monthly Fee" dataDxfId="120"/>
    <tableColumn id="5" xr3:uid="{4E0D3EB5-FE11-4087-8B6C-F4AB3A068B7C}" name="Total Paid Monthly" dataDxfId="119"/>
    <tableColumn id="6" xr3:uid="{7AC1E149-336E-4EC3-8FB7-941A8DDA424C}" name="Total Fee Receive" dataDxfId="118">
      <calculatedColumnFormula>D3*E3</calculatedColumnFormula>
    </tableColumn>
    <tableColumn id="7" xr3:uid="{8249CFCA-5101-4A5E-A9F3-1B3026004C0E}" name="Total Due Month" dataDxfId="117">
      <calculatedColumnFormula>7-E3</calculatedColumnFormula>
    </tableColumn>
    <tableColumn id="8" xr3:uid="{8DEF557D-40DC-4A03-B02D-E516561355A9}" name="Total Fee Due " dataDxfId="116">
      <calculatedColumnFormula>D3*G3</calculatedColumnFormula>
    </tableColumn>
    <tableColumn id="9" xr3:uid="{7BB8203C-C97B-410C-981F-F85F77B64AA2}" name="FEB" dataDxfId="115"/>
    <tableColumn id="10" xr3:uid="{72651868-253B-42D1-879B-2A1350EFA2ED}" name="MAR" dataDxfId="114"/>
    <tableColumn id="11" xr3:uid="{7949CC7E-6774-4A8D-8E15-14BE6D585B04}" name="APR" dataDxfId="113"/>
    <tableColumn id="12" xr3:uid="{054A952F-1DB5-41E6-8AE7-B65305B27F31}" name="MAY" dataDxfId="112"/>
    <tableColumn id="13" xr3:uid="{6E235FBF-92CB-4FBA-A99C-225FF622C4FA}" name="JUN" dataDxfId="111"/>
    <tableColumn id="14" xr3:uid="{AB51D919-EBAA-4F4C-BD8E-26728114DCBB}" name="JUL" dataDxfId="110"/>
    <tableColumn id="15" xr3:uid="{BF9554F4-E838-43DA-9062-72029385132B}" name="AUG" dataDxfId="109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9D7BC0-823E-42C4-A21E-63ACD41AA6D9}" name="Table13" displayName="Table13" ref="A2:N24" totalsRowShown="0" headerRowDxfId="108" dataDxfId="107">
  <autoFilter ref="A2:N24" xr:uid="{E59D7BC0-823E-42C4-A21E-63ACD41AA6D9}"/>
  <tableColumns count="14">
    <tableColumn id="1" xr3:uid="{47CA8CA7-42A9-4E4E-8719-1496CE63BFA4}" name="Roll No." dataDxfId="106"/>
    <tableColumn id="2" xr3:uid="{F75538A4-DDE7-4052-95B7-61E8C7B7C043}" name="Student Name" dataDxfId="105"/>
    <tableColumn id="3" xr3:uid="{E6F61739-D478-43BE-B423-E0F860CC9272}" name="DOB" dataDxfId="104"/>
    <tableColumn id="4" xr3:uid="{023EF1DD-2BB5-4A7A-85B8-CB531A0B54A7}" name="Monthly Fee" dataDxfId="103"/>
    <tableColumn id="5" xr3:uid="{70F5B9D0-823A-4770-BAC7-AC443A81A216}" name="Total Paid Monthly" dataDxfId="102"/>
    <tableColumn id="6" xr3:uid="{89CFC7C4-4295-4A38-AB43-8B60BA1163CA}" name="Total Fee Receive" dataDxfId="101">
      <calculatedColumnFormula>D3*E3</calculatedColumnFormula>
    </tableColumn>
    <tableColumn id="7" xr3:uid="{821925F8-15CA-4B64-9C89-8EA03D17C3C2}" name="Total Due Month" dataDxfId="100">
      <calculatedColumnFormula>6-E3</calculatedColumnFormula>
    </tableColumn>
    <tableColumn id="8" xr3:uid="{50A156EB-4B3B-4B4E-A6E8-C4B7EAB668F6}" name="Total Fee Due " dataDxfId="99">
      <calculatedColumnFormula>D3*G3</calculatedColumnFormula>
    </tableColumn>
    <tableColumn id="9" xr3:uid="{1968C57A-4F28-4263-93CA-538B48827847}" name="FEB" dataDxfId="98"/>
    <tableColumn id="10" xr3:uid="{0FE90003-CCF9-4CAD-92F4-0B78C749F5A6}" name="MAR" dataDxfId="97"/>
    <tableColumn id="11" xr3:uid="{9BA66357-8303-4DBB-A96B-3FC8F25B647D}" name="APR" dataDxfId="96"/>
    <tableColumn id="12" xr3:uid="{8A3BD924-40F2-4C0B-BC9F-2B21975A894B}" name="MAY" dataDxfId="95"/>
    <tableColumn id="13" xr3:uid="{8E7156B1-0545-4D14-92F3-18A1C0C7A355}" name="JUN" dataDxfId="94"/>
    <tableColumn id="14" xr3:uid="{FDA09E48-B99A-4A21-93AE-D446381DD566}" name="JUL" dataDxfId="9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BC16A8-8C18-4069-A2AE-1A515BEBE16A}" name="Table134" displayName="Table134" ref="A2:P18" totalsRowShown="0" headerRowDxfId="92" dataDxfId="91">
  <autoFilter ref="A2:P18" xr:uid="{34BC16A8-8C18-4069-A2AE-1A515BEBE16A}"/>
  <tableColumns count="16">
    <tableColumn id="1" xr3:uid="{E17FF66D-E184-4BD7-A2EA-E645B0D7F1F9}" name="Roll No." dataDxfId="90"/>
    <tableColumn id="2" xr3:uid="{6D076B0B-2F55-4F9D-A6EC-63D8B891D1A0}" name="Student Name" dataDxfId="89"/>
    <tableColumn id="3" xr3:uid="{F6DD34FE-8A94-4A54-A8F7-40517B1BCB29}" name="DOB" dataDxfId="88"/>
    <tableColumn id="4" xr3:uid="{805ED63E-2C80-4D6E-AE6F-553F8315DBEC}" name="Monthly Fee" dataDxfId="87"/>
    <tableColumn id="5" xr3:uid="{1801534C-2560-4F12-BF69-28955532EAA6}" name="Total Paid Monthly" dataDxfId="86"/>
    <tableColumn id="6" xr3:uid="{64A671F9-D631-4FEC-A6D7-0BB8456A99D9}" name="Total Fee Receive" dataDxfId="85">
      <calculatedColumnFormula>D3*E3</calculatedColumnFormula>
    </tableColumn>
    <tableColumn id="7" xr3:uid="{5BC2D301-F875-45B5-AD28-DC2626BCBDDF}" name="Total Due Month" dataDxfId="84">
      <calculatedColumnFormula>8-E3</calculatedColumnFormula>
    </tableColumn>
    <tableColumn id="8" xr3:uid="{44BCD441-F402-4A9C-9BFA-4644A4D4FDA4}" name="Total Fee Due " dataDxfId="83">
      <calculatedColumnFormula>D3*G3</calculatedColumnFormula>
    </tableColumn>
    <tableColumn id="9" xr3:uid="{B22B9A0A-3DAD-4857-8BC8-5C04212D5EB3}" name="FEB" dataDxfId="82"/>
    <tableColumn id="10" xr3:uid="{75E95900-1ED3-491D-ACFD-C52408F94A58}" name="MAR" dataDxfId="81"/>
    <tableColumn id="11" xr3:uid="{28CFFA58-1948-4919-A9D1-212A7A29EC43}" name="APR" dataDxfId="80"/>
    <tableColumn id="12" xr3:uid="{4F3CEE10-CA45-4224-99CD-872AC3ED8E06}" name="MAY" dataDxfId="79"/>
    <tableColumn id="13" xr3:uid="{4E96DF85-20B7-45CB-AB5E-54BEFB381E9C}" name="JUN" dataDxfId="78"/>
    <tableColumn id="14" xr3:uid="{C5C84490-8CC3-4F5A-A1DF-B1F890DD257E}" name="JUL" dataDxfId="77"/>
    <tableColumn id="15" xr3:uid="{7E583BCA-2467-402C-9D39-C638B84B2D6D}" name="AUG" dataDxfId="76"/>
    <tableColumn id="18" xr3:uid="{63F13745-3FA6-4953-B381-9103B0D64AE9}" name="SEP" dataDxfId="7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8A020E-20E8-49D1-8931-BCBF4947357D}" name="Table135" displayName="Table135" ref="A2:L29" totalsRowShown="0" headerRowDxfId="74" dataDxfId="73">
  <autoFilter ref="A2:L29" xr:uid="{D58A020E-20E8-49D1-8931-BCBF4947357D}"/>
  <tableColumns count="12">
    <tableColumn id="1" xr3:uid="{8FA24BB6-60BA-4064-9344-D50DCF7D94FC}" name="Roll No." dataDxfId="72"/>
    <tableColumn id="2" xr3:uid="{D9F0A7ED-559B-48C2-8D5C-DE41C05FBB70}" name="Student Name" dataDxfId="71"/>
    <tableColumn id="3" xr3:uid="{05A4E208-6E0F-496D-B82D-6357396CC0D5}" name="DOB" dataDxfId="70"/>
    <tableColumn id="4" xr3:uid="{0A445C27-8A36-4030-A614-2B7C3B7885BC}" name="Monthly Fee" dataDxfId="69"/>
    <tableColumn id="5" xr3:uid="{72204D27-5B19-4532-91D8-1831ADBAC4FE}" name="Total Paid Monthly" dataDxfId="68"/>
    <tableColumn id="6" xr3:uid="{B1DF7E48-EE49-4A50-9D94-A1AFF73F8C67}" name="Total Fee Receive" dataDxfId="67">
      <calculatedColumnFormula>D3*E3</calculatedColumnFormula>
    </tableColumn>
    <tableColumn id="7" xr3:uid="{5D7ED0CD-BC78-4198-AFAD-2ABAC20F2A56}" name="Total Due Month" dataDxfId="66">
      <calculatedColumnFormula>4-E3</calculatedColumnFormula>
    </tableColumn>
    <tableColumn id="8" xr3:uid="{4F8784B3-99AF-4FAA-96A8-FA2B181E3792}" name="Total Fee Due " dataDxfId="65">
      <calculatedColumnFormula>D3*G3</calculatedColumnFormula>
    </tableColumn>
    <tableColumn id="9" xr3:uid="{A7E6C0A5-2259-453E-BB0D-993E759BF7DD}" name="FEB" dataDxfId="64"/>
    <tableColumn id="10" xr3:uid="{FC46F2B0-8FCA-4099-BB98-656317996FA9}" name="MAR" dataDxfId="63"/>
    <tableColumn id="11" xr3:uid="{CC0668A7-82F9-4403-A440-7A10467B529C}" name="APR" dataDxfId="62"/>
    <tableColumn id="12" xr3:uid="{EC5C1903-D7EB-4F37-A6F1-45EFC139C273}" name="MAY" dataDxfId="6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20425F-E584-473C-8D9E-57F3BBAF71EA}" name="Table136" displayName="Table136" ref="A2:L12" totalsRowShown="0" headerRowDxfId="60" dataDxfId="59">
  <autoFilter ref="A2:L12" xr:uid="{FF20425F-E584-473C-8D9E-57F3BBAF71EA}"/>
  <tableColumns count="12">
    <tableColumn id="1" xr3:uid="{6A58AD33-99CA-4EEB-BAF0-E73B8CD46D0F}" name="Roll No." dataDxfId="58"/>
    <tableColumn id="2" xr3:uid="{EED62FFC-E836-47D2-9BB6-1B8E54380052}" name="Student Name" dataDxfId="57"/>
    <tableColumn id="3" xr3:uid="{CA4715F0-14F3-441F-9F9A-994DA93545B1}" name="DOB" dataDxfId="56"/>
    <tableColumn id="4" xr3:uid="{7ABE9F58-4313-4F5C-8020-FE8D9945932F}" name="Monthly Fee" dataDxfId="55"/>
    <tableColumn id="5" xr3:uid="{165981BA-BBF0-49B4-81BA-343B2C8E1CA1}" name="Total Paid Monthly" dataDxfId="54"/>
    <tableColumn id="6" xr3:uid="{131FD41F-D377-49C6-9F9A-78B1ED76F3D8}" name="Total Fee Receive" dataDxfId="53">
      <calculatedColumnFormula>D3*E3</calculatedColumnFormula>
    </tableColumn>
    <tableColumn id="7" xr3:uid="{12FFDF0B-45D8-4A44-AE56-FC7AAD3896E5}" name="Total Due Month" dataDxfId="52">
      <calculatedColumnFormula>4-E3</calculatedColumnFormula>
    </tableColumn>
    <tableColumn id="8" xr3:uid="{530C44C7-D7C7-4035-A61A-0F6A7BFFEB00}" name="Total Fee Due " dataDxfId="51">
      <calculatedColumnFormula>D3*G3</calculatedColumnFormula>
    </tableColumn>
    <tableColumn id="9" xr3:uid="{97CB6AE5-53C9-49F2-80B3-6452D24587D8}" name="FEB" dataDxfId="50"/>
    <tableColumn id="10" xr3:uid="{D5D5B947-14F1-41D4-B4BC-7522AE969818}" name="MAR" dataDxfId="49"/>
    <tableColumn id="11" xr3:uid="{1030077B-5122-4E6E-BEAC-8DFE07A1AA9F}" name="APR" dataDxfId="48"/>
    <tableColumn id="12" xr3:uid="{44947908-34AA-438A-913C-81C8010CF00F}" name="MAY" dataDxfId="47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043BCC-D9D6-4C53-A57D-3BBE8DA10266}" name="Table137" displayName="Table137" ref="A2:N18" totalsRowShown="0" headerRowDxfId="46" dataDxfId="45">
  <autoFilter ref="A2:N18" xr:uid="{7D043BCC-D9D6-4C53-A57D-3BBE8DA10266}"/>
  <tableColumns count="14">
    <tableColumn id="1" xr3:uid="{F0BAD208-94E0-42AC-B549-BEB0C63BA3B3}" name="Roll No." dataDxfId="44"/>
    <tableColumn id="2" xr3:uid="{4CAE78A0-5500-442D-8C3A-55F2F02184DF}" name="Student Name" dataDxfId="43"/>
    <tableColumn id="3" xr3:uid="{9DA7509E-F29B-4DA0-A4B6-CAC9C91401EC}" name="DOB" dataDxfId="42"/>
    <tableColumn id="4" xr3:uid="{6A905F4B-2FDF-4A8F-A165-6509FBEE94F8}" name="Monthly Fee" dataDxfId="41"/>
    <tableColumn id="5" xr3:uid="{4797935D-BD7C-4FEA-8944-C98F756F51BB}" name="Total Paid Monthly" dataDxfId="40"/>
    <tableColumn id="6" xr3:uid="{5E6FF601-FBDF-4B91-8014-3E850EEC4CB2}" name="Total Fee Receive" dataDxfId="39">
      <calculatedColumnFormula>D3*E3</calculatedColumnFormula>
    </tableColumn>
    <tableColumn id="7" xr3:uid="{406F8A08-4BD3-4FC3-B219-AD9649D4A282}" name="Total Due Month" dataDxfId="38">
      <calculatedColumnFormula>6-E3</calculatedColumnFormula>
    </tableColumn>
    <tableColumn id="8" xr3:uid="{A54411E0-025C-49F9-BE54-08D85F67D1F0}" name="Total Fee Due " dataDxfId="37">
      <calculatedColumnFormula>D3*G3</calculatedColumnFormula>
    </tableColumn>
    <tableColumn id="9" xr3:uid="{883D29D4-24E3-4F32-84CC-6E45D5228DE6}" name="FEB" dataDxfId="36"/>
    <tableColumn id="10" xr3:uid="{600D1560-C384-4999-B46D-A446684D14E2}" name="MAR" dataDxfId="35"/>
    <tableColumn id="11" xr3:uid="{2FBE8E2A-2486-4D49-8EAE-F5D2787B3823}" name="APR" dataDxfId="34"/>
    <tableColumn id="12" xr3:uid="{755DDF28-8256-452D-9415-95C72061EED3}" name="MAY" dataDxfId="33"/>
    <tableColumn id="13" xr3:uid="{4B8FDFA0-9AF4-4731-BDE2-CCED92277248}" name="JUN" dataDxfId="32"/>
    <tableColumn id="14" xr3:uid="{E9133B69-645C-456E-9859-898AD820B1EB}" name="JUL" dataDxfId="3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EAFA3-1B66-40B7-A278-A97371D26D49}" name="Table138" displayName="Table138" ref="A2:P18" totalsRowShown="0" headerRowDxfId="30" dataDxfId="29">
  <autoFilter ref="A2:P18" xr:uid="{791EAFA3-1B66-40B7-A278-A97371D26D49}"/>
  <tableColumns count="16">
    <tableColumn id="1" xr3:uid="{17935C8A-9AC7-4582-8F4C-B9C3A404FC77}" name="Roll No." dataDxfId="28"/>
    <tableColumn id="2" xr3:uid="{2ACF64ED-0E35-459B-BA2A-4D9890588248}" name="Student Name" dataDxfId="27"/>
    <tableColumn id="3" xr3:uid="{FEFFA6ED-8892-41DD-B493-0BCC10488985}" name="DOB" dataDxfId="26"/>
    <tableColumn id="4" xr3:uid="{3E97AB02-EEF9-4879-BA50-EC66A535C169}" name="Monthly Fee" dataDxfId="25"/>
    <tableColumn id="5" xr3:uid="{5945CE86-A1F6-424A-8D29-01E694E33A53}" name="Total Paid Monthly" dataDxfId="24"/>
    <tableColumn id="6" xr3:uid="{A81A9E17-8AE4-4218-AF38-EFB50F5E4FBA}" name="Total Fee Receive" dataDxfId="23">
      <calculatedColumnFormula>D3*E3</calculatedColumnFormula>
    </tableColumn>
    <tableColumn id="7" xr3:uid="{AEA1FB92-298C-4C5C-A157-E93C592DCD4F}" name="Total Due Month" dataDxfId="22">
      <calculatedColumnFormula>8-E3</calculatedColumnFormula>
    </tableColumn>
    <tableColumn id="8" xr3:uid="{8D22F1BD-6047-45FB-91AE-0FA104F96522}" name="Total Fee Due " dataDxfId="21">
      <calculatedColumnFormula>D3*G3</calculatedColumnFormula>
    </tableColumn>
    <tableColumn id="9" xr3:uid="{93D1C993-65C6-4AD4-B00A-BBF03A53913C}" name="FEB" dataDxfId="20"/>
    <tableColumn id="10" xr3:uid="{3C7B809E-DEEB-438B-9120-4C4107BE16F9}" name="MAR" dataDxfId="19"/>
    <tableColumn id="11" xr3:uid="{0C7FFBE3-4160-450A-AE78-CCB83D31C3DE}" name="APR" dataDxfId="18"/>
    <tableColumn id="12" xr3:uid="{954B8EC1-E8D0-487C-9B25-D514F6F1341C}" name="MAY" dataDxfId="17"/>
    <tableColumn id="13" xr3:uid="{D06B65F7-BA9E-44CE-A67E-4C8FC9B828B7}" name="JUN" dataDxfId="16"/>
    <tableColumn id="14" xr3:uid="{12550A34-C4F1-4F92-BFAE-116F8C83C1FE}" name="JUL" dataDxfId="15"/>
    <tableColumn id="15" xr3:uid="{26F601BE-E452-4203-A337-EA541AB9AA98}" name="AUG" dataDxfId="14"/>
    <tableColumn id="16" xr3:uid="{0D51A87C-6967-4701-99FD-BA1E0DCE3671}" name="SEP" dataDxfId="13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9B3F40-4A54-49CE-BA73-6A6CFE5485C6}" name="Table139" displayName="Table139" ref="A2:K19" totalsRowShown="0" headerRowDxfId="12" dataDxfId="11">
  <autoFilter ref="A2:K19" xr:uid="{579B3F40-4A54-49CE-BA73-6A6CFE5485C6}"/>
  <tableColumns count="11">
    <tableColumn id="1" xr3:uid="{7C5F2500-390A-41F6-B717-6DE91FF64691}" name="Roll No." dataDxfId="10"/>
    <tableColumn id="2" xr3:uid="{33380122-1A62-44ED-984A-ECC788EDB609}" name="Student Name" dataDxfId="9"/>
    <tableColumn id="3" xr3:uid="{30EECF08-92B2-4850-8756-01618F28A187}" name="DOB" dataDxfId="8"/>
    <tableColumn id="4" xr3:uid="{5F6E3729-B31D-46F3-A7F2-3613954ED9AC}" name="Monthly Fee" dataDxfId="7"/>
    <tableColumn id="5" xr3:uid="{82835D1C-6BAF-4162-A434-2C5A208405A0}" name="Total Paid Monthly" dataDxfId="6"/>
    <tableColumn id="6" xr3:uid="{DB370E01-1E12-4F3E-9286-35D6DB23E627}" name="Total Fee Receive" dataDxfId="5">
      <calculatedColumnFormula>D3*E3</calculatedColumnFormula>
    </tableColumn>
    <tableColumn id="7" xr3:uid="{855A6091-8522-4B24-A032-BD2798798363}" name="Total Due Month" dataDxfId="4">
      <calculatedColumnFormula>3-E3</calculatedColumnFormula>
    </tableColumn>
    <tableColumn id="8" xr3:uid="{0DF07600-613B-42AE-99D2-D54DEF8204D6}" name="Total Fee Due " dataDxfId="3">
      <calculatedColumnFormula>D3*G3</calculatedColumnFormula>
    </tableColumn>
    <tableColumn id="9" xr3:uid="{432C08F9-BDC8-49CD-ADA3-3C97621DD031}" name="FEB" dataDxfId="2"/>
    <tableColumn id="10" xr3:uid="{0F2BC300-5A43-487C-A154-FFAB72422DCD}" name="MAR" dataDxfId="1"/>
    <tableColumn id="11" xr3:uid="{263E8A42-EE34-4FEC-AB4D-6296959B15B3}" name="AP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38CA-6592-4414-BB07-69AF6E7B5BBA}">
  <dimension ref="A1:W21"/>
  <sheetViews>
    <sheetView showGridLines="0" workbookViewId="0">
      <selection activeCell="S21" sqref="S21"/>
    </sheetView>
  </sheetViews>
  <sheetFormatPr defaultRowHeight="14.4" x14ac:dyDescent="0.3"/>
  <cols>
    <col min="1" max="13" width="8.88671875" style="1"/>
    <col min="14" max="14" width="26.109375" style="1" customWidth="1"/>
    <col min="15" max="15" width="8.88671875" style="1"/>
    <col min="16" max="16" width="2.6640625" style="1" customWidth="1"/>
    <col min="17" max="18" width="8.88671875" style="1"/>
    <col min="19" max="19" width="21.21875" style="1" customWidth="1"/>
    <col min="20" max="16384" width="8.88671875" style="1"/>
  </cols>
  <sheetData>
    <row r="1" spans="1:23" ht="45.6" customHeigh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8" spans="1:23" ht="21" x14ac:dyDescent="0.4">
      <c r="N8" s="2" t="s">
        <v>277</v>
      </c>
      <c r="S8" s="2" t="s">
        <v>278</v>
      </c>
    </row>
    <row r="9" spans="1:23" ht="18" x14ac:dyDescent="0.35">
      <c r="N9" s="18" t="s">
        <v>274</v>
      </c>
      <c r="S9" s="20" t="s">
        <v>252</v>
      </c>
    </row>
    <row r="12" spans="1:23" ht="21" x14ac:dyDescent="0.4">
      <c r="N12" s="2" t="s">
        <v>276</v>
      </c>
      <c r="S12" s="2" t="s">
        <v>281</v>
      </c>
    </row>
    <row r="13" spans="1:23" ht="15.6" x14ac:dyDescent="0.3">
      <c r="N13" s="19">
        <f>CHOOSE(MATCH(Dashboard!N9,{"Cloud Computing","Data Analyst","Machine Learning","AI","Cyber Security","DEV-OPS","Full Stack Development","Python"},0),'Cloud Computing'!C1,'Data Analyst'!C1,'Machine Learning'!C1,AI!C1,'Cyber Security'!C1,'DEV-OPS'!C1,'Full Stack Development'!C1,Python!C1)</f>
        <v>17</v>
      </c>
      <c r="S13" s="20" t="str">
        <f>IFERROR( CHOOSE(MATCH(N9,{"Cloud Computing","Data Analyst","Machine learning","AI","Cyber Security","DEV-OPS","Full Stack Development","Python"},0),VLOOKUP(Dashboard!S9,Table1[[Roll No.]:[Total Fee Due ]],2,FALSE),VLOOKUP(S9,Table13[[Roll No.]:[Total Fee Due ]],2,FALSE),VLOOKUP(Dashboard!S9,Table134[[Roll No.]:[Total Fee Due ]],2,FALSE),VLOOKUP(Dashboard!S9,Table135[[Roll No.]:[Total Fee Due ]],2,FALSE),VLOOKUP(Dashboard!S9,Table136[[Roll No.]:[Total Fee Due ]],2,FALSE),VLOOKUP(Dashboard!S9,Table137[[Roll No.]:[Total Fee Due ]],2,FALSE),VLOOKUP(Dashboard!S9,Table138[[Roll No.]:[Total Fee Due ]],2,FALSE),VLOOKUP(Dashboard!S9,Table139[[Roll No.]:[Total Fee Due ]],2,FALSE))," ")</f>
        <v>Ankita Salunkhe</v>
      </c>
    </row>
    <row r="14" spans="1:23" x14ac:dyDescent="0.3">
      <c r="S14" s="17"/>
    </row>
    <row r="15" spans="1:23" x14ac:dyDescent="0.3">
      <c r="S15" s="17"/>
    </row>
    <row r="16" spans="1:23" ht="21" x14ac:dyDescent="0.4">
      <c r="N16" s="2" t="s">
        <v>275</v>
      </c>
      <c r="S16" s="2" t="s">
        <v>279</v>
      </c>
    </row>
    <row r="17" spans="14:19" ht="15.6" x14ac:dyDescent="0.3">
      <c r="N17" s="19">
        <f>CHOOSE(MATCH(N9,{"Cloud Computing","Data Analyst","Machine Learning","AI","Cyber Security","DEV-OPS","Full Stack Development","Python"},0),'Cloud Computing'!D1,'Data Analyst'!D1,'Machine Learning'!D1,AI!D1,'Cyber Security'!D1,'DEV-OPS'!D1,'Full Stack Development'!D1,Python!D1)</f>
        <v>153000</v>
      </c>
      <c r="S17" s="19">
        <f>IFERROR(CHOOSE(MATCH(N9,{"Cloud Computing","Data Analyst","Machine learning","AI","Cyber Security","DEV-OPS","Full Stack Development","Python"},0),VLOOKUP(S9,Table1[[Roll No.]:[Total Fee Due ]],6,FALSE),VLOOKUP(Dashboard!S9,Table13[[Roll No.]:[Total Fee Due ]],6,FALSE),VLOOKUP(Dashboard!S9,Table134[[Roll No.]:[Total Fee Due ]],6,FALSE),VLOOKUP(Dashboard!S9,Table135[[Roll No.]:[Total Fee Due ]],6,FALSE),VLOOKUP(Dashboard!S9,Table136[[Roll No.]:[Total Fee Due ]],6,FALSE),VLOOKUP(Dashboard!S9,Table137[[Roll No.]:[Total Fee Due ]],6,FALSE),VLOOKUP(Dashboard!S9,Table138[[Roll No.]:[Total Fee Due ]],6,FALSE),VLOOKUP(Dashboard!S9,Table139[[Roll No.]:[Total Fee Due ]],6,FALSE))," ")</f>
        <v>9000</v>
      </c>
    </row>
    <row r="20" spans="14:19" ht="21" x14ac:dyDescent="0.4">
      <c r="N20" s="2" t="s">
        <v>280</v>
      </c>
      <c r="S20" s="2" t="s">
        <v>282</v>
      </c>
    </row>
    <row r="21" spans="14:19" ht="15.6" x14ac:dyDescent="0.3">
      <c r="N21" s="19">
        <f>CHOOSE(MATCH(N9,{"Cloud Computing","Data Analyst","Machine learning"," AI","Cyber Security","DEV-OPS","Full Stack Development","Python"},0),'Cloud Computing'!H1,'Data Analyst'!H1,'Machine Learning'!H1,AI!H1,'Cyber Security'!H1,'DEV-OPS'!H1,'Full Stack Development'!H1,Python!H1)</f>
        <v>9000</v>
      </c>
      <c r="S21" s="19">
        <f>IFERROR(CHOOSE(MATCH(N9,{"Cloud Computing","Data Analyst","Machine learning","AI","Cyber Security","DEV-OPS","Full Stack Development","Python"},0),VLOOKUP(S9,Table1[[Roll No.]:[Total Fee Due ]],8,FALSE),VLOOKUP(Dashboard!S9,Table13[[Roll No.]:[Total Fee Due ]],8,FALSE),VLOOKUP(Dashboard!S9,Table134[[Roll No.]:[Total Fee Due ]],8,FALSE),VLOOKUP(Dashboard!S9,Table135[[Roll No.]:[Total Fee Due ]],8,FALSE),VLOOKUP(Dashboard!S9,Table136[[Roll No.]:[Total Fee Due ]],8,FALSE),VLOOKUP(Dashboard!S9,Table137[[Roll No.]:[Total Fee Due ]],8,FALSE),VLOOKUP(Dashboard!S9,Table138[[Roll No.]:[Total Fee Due ]],8,FALSE),VLOOKUP(Dashboard!S9,Table139[[Roll No.]:[Total Fee Due ]],8,FALSE))," ")</f>
        <v>0</v>
      </c>
    </row>
  </sheetData>
  <mergeCells count="1">
    <mergeCell ref="A1:W1"/>
  </mergeCells>
  <dataValidations count="1">
    <dataValidation type="list" allowBlank="1" showInputMessage="1" showErrorMessage="1" sqref="N9" xr:uid="{0ADB971D-7663-4B5C-A617-24B99BE7863B}">
      <formula1>"Cloud Computing, Data Analyst, Machine learning, AI, Cyber Security, DEV-OPS, Full Stack Development, Python"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AAE5-1A7C-4BEF-BC00-F9C83495A673}">
  <dimension ref="A1:T25"/>
  <sheetViews>
    <sheetView workbookViewId="0"/>
  </sheetViews>
  <sheetFormatPr defaultRowHeight="14.4" x14ac:dyDescent="0.3"/>
  <cols>
    <col min="1" max="1" width="17.44140625" bestFit="1" customWidth="1"/>
    <col min="2" max="2" width="21.109375" customWidth="1"/>
    <col min="3" max="3" width="10.33203125" bestFit="1" customWidth="1"/>
    <col min="4" max="4" width="15.33203125" bestFit="1" customWidth="1"/>
    <col min="5" max="5" width="17.21875" customWidth="1"/>
    <col min="6" max="6" width="19.88671875" bestFit="1" customWidth="1"/>
    <col min="7" max="7" width="18.6640625" bestFit="1" customWidth="1"/>
    <col min="8" max="8" width="16.44140625" bestFit="1" customWidth="1"/>
  </cols>
  <sheetData>
    <row r="1" spans="1:20" ht="30.6" customHeight="1" x14ac:dyDescent="0.3">
      <c r="A1" s="8" t="s">
        <v>1</v>
      </c>
      <c r="B1" s="9" t="s">
        <v>5</v>
      </c>
      <c r="C1" s="10">
        <f>COUNTA(A3:A25)</f>
        <v>23</v>
      </c>
      <c r="D1" s="10">
        <f>SUM(D3:D25)*7</f>
        <v>563500</v>
      </c>
      <c r="E1" s="10"/>
      <c r="F1" s="10">
        <f>SUM(F3:F25)</f>
        <v>353500</v>
      </c>
      <c r="G1" s="10"/>
      <c r="H1" s="10">
        <f>SUM(H3:H25)</f>
        <v>210000</v>
      </c>
      <c r="N1" s="16" t="s">
        <v>269</v>
      </c>
      <c r="O1" s="16"/>
    </row>
    <row r="2" spans="1:20" ht="32.4" customHeight="1" x14ac:dyDescent="0.3">
      <c r="A2" s="5" t="s">
        <v>4</v>
      </c>
      <c r="B2" s="3" t="s">
        <v>2</v>
      </c>
      <c r="C2" s="4" t="s">
        <v>6</v>
      </c>
      <c r="D2" s="6" t="s">
        <v>7</v>
      </c>
      <c r="E2" s="6" t="s">
        <v>8</v>
      </c>
      <c r="F2" s="6" t="s">
        <v>3</v>
      </c>
      <c r="G2" s="6" t="s">
        <v>140</v>
      </c>
      <c r="H2" s="6" t="s">
        <v>10</v>
      </c>
      <c r="I2" s="4" t="s">
        <v>11</v>
      </c>
      <c r="J2" s="4" t="s">
        <v>12</v>
      </c>
      <c r="K2" s="4" t="s">
        <v>13</v>
      </c>
      <c r="L2" s="4" t="s">
        <v>9</v>
      </c>
      <c r="M2" s="4" t="s">
        <v>14</v>
      </c>
      <c r="N2" s="4" t="s">
        <v>15</v>
      </c>
      <c r="O2" s="4" t="s">
        <v>16</v>
      </c>
      <c r="P2" s="4"/>
      <c r="Q2" s="4"/>
      <c r="R2" s="4"/>
      <c r="S2" s="4"/>
      <c r="T2" s="4"/>
    </row>
    <row r="3" spans="1:20" x14ac:dyDescent="0.3">
      <c r="A3" t="s">
        <v>17</v>
      </c>
      <c r="B3" s="5" t="s">
        <v>40</v>
      </c>
      <c r="C3" s="7">
        <v>38788</v>
      </c>
      <c r="D3" s="12">
        <v>3500</v>
      </c>
      <c r="E3" s="12">
        <v>7</v>
      </c>
      <c r="F3" s="12">
        <f>D3*E3</f>
        <v>24500</v>
      </c>
      <c r="G3" s="12">
        <f>7-E3</f>
        <v>0</v>
      </c>
      <c r="H3" s="12">
        <f>D3*G3</f>
        <v>0</v>
      </c>
      <c r="I3" s="4" t="s">
        <v>141</v>
      </c>
      <c r="J3" s="4" t="s">
        <v>141</v>
      </c>
      <c r="K3" s="4" t="s">
        <v>141</v>
      </c>
      <c r="L3" s="4" t="s">
        <v>141</v>
      </c>
      <c r="M3" s="4" t="s">
        <v>141</v>
      </c>
      <c r="N3" s="4" t="s">
        <v>141</v>
      </c>
      <c r="O3" s="4" t="s">
        <v>141</v>
      </c>
    </row>
    <row r="4" spans="1:20" x14ac:dyDescent="0.3">
      <c r="A4" t="s">
        <v>18</v>
      </c>
      <c r="B4" s="5" t="s">
        <v>41</v>
      </c>
      <c r="C4" s="7">
        <v>38558</v>
      </c>
      <c r="D4" s="12">
        <v>3500</v>
      </c>
      <c r="E4" s="12">
        <v>4</v>
      </c>
      <c r="F4" s="12">
        <f t="shared" ref="F4:F25" si="0">D4*E4</f>
        <v>14000</v>
      </c>
      <c r="G4" s="12">
        <f t="shared" ref="G4:G25" si="1">7-E4</f>
        <v>3</v>
      </c>
      <c r="H4" s="12">
        <f t="shared" ref="H4:H25" si="2">D4*G4</f>
        <v>10500</v>
      </c>
      <c r="I4" s="4" t="s">
        <v>141</v>
      </c>
      <c r="J4" s="4" t="s">
        <v>141</v>
      </c>
      <c r="K4" s="4" t="s">
        <v>141</v>
      </c>
      <c r="L4" s="4" t="s">
        <v>141</v>
      </c>
      <c r="M4" s="4" t="s">
        <v>142</v>
      </c>
      <c r="N4" s="4" t="s">
        <v>142</v>
      </c>
      <c r="O4" s="4" t="s">
        <v>142</v>
      </c>
    </row>
    <row r="5" spans="1:20" x14ac:dyDescent="0.3">
      <c r="A5" t="s">
        <v>19</v>
      </c>
      <c r="B5" s="5" t="s">
        <v>42</v>
      </c>
      <c r="C5" s="7">
        <v>39100</v>
      </c>
      <c r="D5" s="12">
        <v>3500</v>
      </c>
      <c r="E5" s="12">
        <v>2</v>
      </c>
      <c r="F5" s="12">
        <f t="shared" si="0"/>
        <v>7000</v>
      </c>
      <c r="G5" s="12">
        <f t="shared" si="1"/>
        <v>5</v>
      </c>
      <c r="H5" s="12">
        <f t="shared" si="2"/>
        <v>17500</v>
      </c>
      <c r="I5" s="4" t="s">
        <v>141</v>
      </c>
      <c r="J5" s="4" t="s">
        <v>141</v>
      </c>
      <c r="K5" s="4" t="s">
        <v>142</v>
      </c>
      <c r="L5" s="4" t="s">
        <v>142</v>
      </c>
      <c r="M5" s="4" t="s">
        <v>142</v>
      </c>
      <c r="N5" s="4" t="s">
        <v>142</v>
      </c>
      <c r="O5" s="4" t="s">
        <v>142</v>
      </c>
    </row>
    <row r="6" spans="1:20" x14ac:dyDescent="0.3">
      <c r="A6" t="s">
        <v>20</v>
      </c>
      <c r="B6" s="5" t="s">
        <v>43</v>
      </c>
      <c r="C6" s="7">
        <v>39030</v>
      </c>
      <c r="D6" s="12">
        <v>3500</v>
      </c>
      <c r="E6" s="12">
        <v>5</v>
      </c>
      <c r="F6" s="12">
        <f t="shared" si="0"/>
        <v>17500</v>
      </c>
      <c r="G6" s="12">
        <f t="shared" si="1"/>
        <v>2</v>
      </c>
      <c r="H6" s="12">
        <f t="shared" si="2"/>
        <v>7000</v>
      </c>
      <c r="I6" s="4" t="s">
        <v>141</v>
      </c>
      <c r="J6" s="4" t="s">
        <v>141</v>
      </c>
      <c r="K6" s="4" t="s">
        <v>141</v>
      </c>
      <c r="L6" s="4" t="s">
        <v>141</v>
      </c>
      <c r="M6" s="4" t="s">
        <v>141</v>
      </c>
      <c r="N6" s="4" t="s">
        <v>142</v>
      </c>
      <c r="O6" s="4" t="s">
        <v>142</v>
      </c>
    </row>
    <row r="7" spans="1:20" x14ac:dyDescent="0.3">
      <c r="A7" t="s">
        <v>21</v>
      </c>
      <c r="B7" s="5" t="s">
        <v>44</v>
      </c>
      <c r="C7" s="7">
        <v>38502</v>
      </c>
      <c r="D7" s="12">
        <v>3500</v>
      </c>
      <c r="E7" s="12">
        <v>4</v>
      </c>
      <c r="F7" s="12">
        <f t="shared" si="0"/>
        <v>14000</v>
      </c>
      <c r="G7" s="12">
        <f t="shared" si="1"/>
        <v>3</v>
      </c>
      <c r="H7" s="12">
        <f t="shared" si="2"/>
        <v>10500</v>
      </c>
      <c r="I7" s="4" t="s">
        <v>141</v>
      </c>
      <c r="J7" s="4" t="s">
        <v>141</v>
      </c>
      <c r="K7" s="4" t="s">
        <v>141</v>
      </c>
      <c r="L7" s="4" t="s">
        <v>141</v>
      </c>
      <c r="M7" s="4" t="s">
        <v>142</v>
      </c>
      <c r="N7" s="4" t="s">
        <v>142</v>
      </c>
      <c r="O7" s="4" t="s">
        <v>142</v>
      </c>
    </row>
    <row r="8" spans="1:20" x14ac:dyDescent="0.3">
      <c r="A8" t="s">
        <v>22</v>
      </c>
      <c r="B8" s="5" t="s">
        <v>45</v>
      </c>
      <c r="C8" s="7">
        <v>38943</v>
      </c>
      <c r="D8" s="12">
        <v>3500</v>
      </c>
      <c r="E8" s="12">
        <v>5</v>
      </c>
      <c r="F8" s="12">
        <f t="shared" si="0"/>
        <v>17500</v>
      </c>
      <c r="G8" s="12">
        <f t="shared" si="1"/>
        <v>2</v>
      </c>
      <c r="H8" s="12">
        <f t="shared" si="2"/>
        <v>7000</v>
      </c>
      <c r="I8" s="4" t="s">
        <v>141</v>
      </c>
      <c r="J8" s="4" t="s">
        <v>141</v>
      </c>
      <c r="K8" s="4" t="s">
        <v>141</v>
      </c>
      <c r="L8" s="4" t="s">
        <v>141</v>
      </c>
      <c r="M8" s="4" t="s">
        <v>141</v>
      </c>
      <c r="N8" s="4" t="s">
        <v>142</v>
      </c>
      <c r="O8" s="4" t="s">
        <v>142</v>
      </c>
    </row>
    <row r="9" spans="1:20" x14ac:dyDescent="0.3">
      <c r="A9" t="s">
        <v>23</v>
      </c>
      <c r="B9" s="5" t="s">
        <v>46</v>
      </c>
      <c r="C9" s="7">
        <v>39115</v>
      </c>
      <c r="D9" s="12">
        <v>3500</v>
      </c>
      <c r="E9" s="12">
        <v>6</v>
      </c>
      <c r="F9" s="12">
        <f t="shared" si="0"/>
        <v>21000</v>
      </c>
      <c r="G9" s="12">
        <f t="shared" si="1"/>
        <v>1</v>
      </c>
      <c r="H9" s="12">
        <f t="shared" si="2"/>
        <v>3500</v>
      </c>
      <c r="I9" s="4" t="s">
        <v>141</v>
      </c>
      <c r="J9" s="4" t="s">
        <v>141</v>
      </c>
      <c r="K9" s="4" t="s">
        <v>141</v>
      </c>
      <c r="L9" s="4" t="s">
        <v>141</v>
      </c>
      <c r="M9" s="4" t="s">
        <v>141</v>
      </c>
      <c r="N9" s="4" t="s">
        <v>141</v>
      </c>
      <c r="O9" s="4" t="s">
        <v>142</v>
      </c>
    </row>
    <row r="10" spans="1:20" x14ac:dyDescent="0.3">
      <c r="A10" t="s">
        <v>24</v>
      </c>
      <c r="B10" s="5" t="s">
        <v>47</v>
      </c>
      <c r="C10" s="7">
        <v>38616</v>
      </c>
      <c r="D10" s="12">
        <v>3500</v>
      </c>
      <c r="E10" s="12">
        <v>3</v>
      </c>
      <c r="F10" s="12">
        <f t="shared" si="0"/>
        <v>10500</v>
      </c>
      <c r="G10" s="12">
        <f t="shared" si="1"/>
        <v>4</v>
      </c>
      <c r="H10" s="12">
        <f t="shared" si="2"/>
        <v>14000</v>
      </c>
      <c r="I10" s="4" t="s">
        <v>141</v>
      </c>
      <c r="J10" s="4" t="s">
        <v>141</v>
      </c>
      <c r="K10" s="4" t="s">
        <v>141</v>
      </c>
      <c r="L10" s="4" t="s">
        <v>141</v>
      </c>
      <c r="M10" s="4" t="s">
        <v>142</v>
      </c>
      <c r="N10" s="4" t="s">
        <v>142</v>
      </c>
      <c r="O10" s="4" t="s">
        <v>142</v>
      </c>
    </row>
    <row r="11" spans="1:20" x14ac:dyDescent="0.3">
      <c r="A11" t="s">
        <v>25</v>
      </c>
      <c r="B11" s="5" t="s">
        <v>48</v>
      </c>
      <c r="C11" s="7">
        <v>38818</v>
      </c>
      <c r="D11" s="12">
        <v>3500</v>
      </c>
      <c r="E11" s="12">
        <v>2</v>
      </c>
      <c r="F11" s="12">
        <f t="shared" si="0"/>
        <v>7000</v>
      </c>
      <c r="G11" s="12">
        <f t="shared" si="1"/>
        <v>5</v>
      </c>
      <c r="H11" s="12">
        <f t="shared" si="2"/>
        <v>17500</v>
      </c>
      <c r="I11" s="4" t="s">
        <v>141</v>
      </c>
      <c r="J11" s="4" t="s">
        <v>141</v>
      </c>
      <c r="K11" s="4" t="s">
        <v>141</v>
      </c>
      <c r="L11" s="4" t="s">
        <v>142</v>
      </c>
      <c r="M11" s="4" t="s">
        <v>142</v>
      </c>
      <c r="N11" s="4" t="s">
        <v>142</v>
      </c>
      <c r="O11" s="4" t="s">
        <v>142</v>
      </c>
    </row>
    <row r="12" spans="1:20" x14ac:dyDescent="0.3">
      <c r="A12" t="s">
        <v>26</v>
      </c>
      <c r="B12" s="5" t="s">
        <v>49</v>
      </c>
      <c r="C12" s="7">
        <v>39443</v>
      </c>
      <c r="D12" s="12">
        <v>3500</v>
      </c>
      <c r="E12" s="12">
        <v>4</v>
      </c>
      <c r="F12" s="12">
        <f t="shared" si="0"/>
        <v>14000</v>
      </c>
      <c r="G12" s="12">
        <f t="shared" si="1"/>
        <v>3</v>
      </c>
      <c r="H12" s="12">
        <f t="shared" si="2"/>
        <v>10500</v>
      </c>
      <c r="I12" s="4" t="s">
        <v>141</v>
      </c>
      <c r="J12" s="4" t="s">
        <v>141</v>
      </c>
      <c r="K12" s="4" t="s">
        <v>141</v>
      </c>
      <c r="L12" s="4" t="s">
        <v>141</v>
      </c>
      <c r="M12" s="4" t="s">
        <v>142</v>
      </c>
      <c r="N12" s="4" t="s">
        <v>142</v>
      </c>
      <c r="O12" s="4" t="s">
        <v>142</v>
      </c>
    </row>
    <row r="13" spans="1:20" x14ac:dyDescent="0.3">
      <c r="A13" t="s">
        <v>27</v>
      </c>
      <c r="B13" s="5" t="s">
        <v>50</v>
      </c>
      <c r="C13" s="7">
        <v>38508</v>
      </c>
      <c r="D13" s="12">
        <v>3500</v>
      </c>
      <c r="E13" s="12">
        <v>5</v>
      </c>
      <c r="F13" s="12">
        <f t="shared" si="0"/>
        <v>17500</v>
      </c>
      <c r="G13" s="12">
        <f t="shared" si="1"/>
        <v>2</v>
      </c>
      <c r="H13" s="12">
        <f t="shared" si="2"/>
        <v>7000</v>
      </c>
      <c r="I13" s="4" t="s">
        <v>141</v>
      </c>
      <c r="J13" s="4" t="s">
        <v>141</v>
      </c>
      <c r="K13" s="4" t="s">
        <v>141</v>
      </c>
      <c r="L13" s="4" t="s">
        <v>141</v>
      </c>
      <c r="M13" s="4" t="s">
        <v>141</v>
      </c>
      <c r="N13" s="4" t="s">
        <v>142</v>
      </c>
      <c r="O13" s="4" t="s">
        <v>142</v>
      </c>
    </row>
    <row r="14" spans="1:20" x14ac:dyDescent="0.3">
      <c r="A14" t="s">
        <v>28</v>
      </c>
      <c r="B14" s="5" t="s">
        <v>51</v>
      </c>
      <c r="C14" s="7">
        <v>39009</v>
      </c>
      <c r="D14" s="12">
        <v>3500</v>
      </c>
      <c r="E14" s="12">
        <v>6</v>
      </c>
      <c r="F14" s="12">
        <f t="shared" si="0"/>
        <v>21000</v>
      </c>
      <c r="G14" s="12">
        <f t="shared" si="1"/>
        <v>1</v>
      </c>
      <c r="H14" s="12">
        <f t="shared" si="2"/>
        <v>3500</v>
      </c>
      <c r="I14" s="4" t="s">
        <v>141</v>
      </c>
      <c r="J14" s="4" t="s">
        <v>141</v>
      </c>
      <c r="K14" s="4" t="s">
        <v>141</v>
      </c>
      <c r="L14" s="4" t="s">
        <v>141</v>
      </c>
      <c r="M14" s="4" t="s">
        <v>141</v>
      </c>
      <c r="N14" s="4" t="s">
        <v>141</v>
      </c>
      <c r="O14" s="4" t="s">
        <v>142</v>
      </c>
    </row>
    <row r="15" spans="1:20" x14ac:dyDescent="0.3">
      <c r="A15" t="s">
        <v>29</v>
      </c>
      <c r="B15" s="5" t="s">
        <v>52</v>
      </c>
      <c r="C15" s="7">
        <v>39090</v>
      </c>
      <c r="D15" s="12">
        <v>3500</v>
      </c>
      <c r="E15" s="12">
        <v>3</v>
      </c>
      <c r="F15" s="12">
        <f t="shared" si="0"/>
        <v>10500</v>
      </c>
      <c r="G15" s="12">
        <f t="shared" si="1"/>
        <v>4</v>
      </c>
      <c r="H15" s="12">
        <f t="shared" si="2"/>
        <v>14000</v>
      </c>
      <c r="I15" s="4" t="s">
        <v>141</v>
      </c>
      <c r="J15" s="4" t="s">
        <v>141</v>
      </c>
      <c r="K15" s="4" t="s">
        <v>141</v>
      </c>
      <c r="L15" s="4" t="s">
        <v>142</v>
      </c>
      <c r="M15" s="4" t="s">
        <v>142</v>
      </c>
      <c r="N15" s="4" t="s">
        <v>142</v>
      </c>
      <c r="O15" s="4" t="s">
        <v>142</v>
      </c>
    </row>
    <row r="16" spans="1:20" x14ac:dyDescent="0.3">
      <c r="A16" t="s">
        <v>30</v>
      </c>
      <c r="B16" s="5" t="s">
        <v>53</v>
      </c>
      <c r="C16" s="7">
        <v>38799</v>
      </c>
      <c r="D16" s="12">
        <v>3500</v>
      </c>
      <c r="E16" s="12">
        <v>4</v>
      </c>
      <c r="F16" s="12">
        <f t="shared" si="0"/>
        <v>14000</v>
      </c>
      <c r="G16" s="12">
        <f t="shared" si="1"/>
        <v>3</v>
      </c>
      <c r="H16" s="12">
        <f t="shared" si="2"/>
        <v>10500</v>
      </c>
      <c r="I16" s="4" t="s">
        <v>141</v>
      </c>
      <c r="J16" s="4" t="s">
        <v>141</v>
      </c>
      <c r="K16" s="4" t="s">
        <v>141</v>
      </c>
      <c r="L16" s="4" t="s">
        <v>141</v>
      </c>
      <c r="M16" s="4" t="s">
        <v>142</v>
      </c>
      <c r="N16" s="4" t="s">
        <v>142</v>
      </c>
      <c r="O16" s="4" t="s">
        <v>142</v>
      </c>
    </row>
    <row r="17" spans="1:15" x14ac:dyDescent="0.3">
      <c r="A17" t="s">
        <v>31</v>
      </c>
      <c r="B17" s="5" t="s">
        <v>54</v>
      </c>
      <c r="C17" s="7">
        <v>38549</v>
      </c>
      <c r="D17" s="12">
        <v>3500</v>
      </c>
      <c r="E17" s="12">
        <v>5</v>
      </c>
      <c r="F17" s="12">
        <f t="shared" si="0"/>
        <v>17500</v>
      </c>
      <c r="G17" s="12">
        <f t="shared" si="1"/>
        <v>2</v>
      </c>
      <c r="H17" s="12">
        <f t="shared" si="2"/>
        <v>7000</v>
      </c>
      <c r="I17" s="4" t="s">
        <v>141</v>
      </c>
      <c r="J17" s="4" t="s">
        <v>141</v>
      </c>
      <c r="K17" s="4" t="s">
        <v>141</v>
      </c>
      <c r="L17" s="4" t="s">
        <v>141</v>
      </c>
      <c r="M17" s="4" t="s">
        <v>141</v>
      </c>
      <c r="N17" s="4" t="s">
        <v>142</v>
      </c>
      <c r="O17" s="4" t="s">
        <v>142</v>
      </c>
    </row>
    <row r="18" spans="1:15" x14ac:dyDescent="0.3">
      <c r="A18" t="s">
        <v>32</v>
      </c>
      <c r="B18" s="5" t="s">
        <v>55</v>
      </c>
      <c r="C18" s="7">
        <v>38970</v>
      </c>
      <c r="D18" s="12">
        <v>3500</v>
      </c>
      <c r="E18" s="12">
        <v>3</v>
      </c>
      <c r="F18" s="12">
        <f t="shared" si="0"/>
        <v>10500</v>
      </c>
      <c r="G18" s="12">
        <f t="shared" si="1"/>
        <v>4</v>
      </c>
      <c r="H18" s="12">
        <f t="shared" si="2"/>
        <v>14000</v>
      </c>
      <c r="I18" s="4" t="s">
        <v>141</v>
      </c>
      <c r="J18" s="4" t="s">
        <v>141</v>
      </c>
      <c r="K18" s="4" t="s">
        <v>141</v>
      </c>
      <c r="L18" s="4" t="s">
        <v>142</v>
      </c>
      <c r="M18" s="4" t="s">
        <v>142</v>
      </c>
      <c r="N18" s="4" t="s">
        <v>142</v>
      </c>
      <c r="O18" s="4" t="s">
        <v>142</v>
      </c>
    </row>
    <row r="19" spans="1:15" x14ac:dyDescent="0.3">
      <c r="A19" t="s">
        <v>33</v>
      </c>
      <c r="B19" s="5" t="s">
        <v>56</v>
      </c>
      <c r="C19" s="7">
        <v>39114</v>
      </c>
      <c r="D19" s="12">
        <v>3500</v>
      </c>
      <c r="E19" s="12">
        <v>5</v>
      </c>
      <c r="F19" s="12">
        <f t="shared" si="0"/>
        <v>17500</v>
      </c>
      <c r="G19" s="12">
        <f t="shared" si="1"/>
        <v>2</v>
      </c>
      <c r="H19" s="12">
        <f t="shared" si="2"/>
        <v>7000</v>
      </c>
      <c r="I19" s="4" t="s">
        <v>141</v>
      </c>
      <c r="J19" s="4" t="s">
        <v>141</v>
      </c>
      <c r="K19" s="4" t="s">
        <v>141</v>
      </c>
      <c r="L19" s="4" t="s">
        <v>141</v>
      </c>
      <c r="M19" s="4" t="s">
        <v>141</v>
      </c>
      <c r="N19" s="4" t="s">
        <v>142</v>
      </c>
      <c r="O19" s="4" t="s">
        <v>142</v>
      </c>
    </row>
    <row r="20" spans="1:15" x14ac:dyDescent="0.3">
      <c r="A20" t="s">
        <v>34</v>
      </c>
      <c r="B20" s="5" t="s">
        <v>57</v>
      </c>
      <c r="C20" s="7">
        <v>38684</v>
      </c>
      <c r="D20" s="12">
        <v>3500</v>
      </c>
      <c r="E20" s="12">
        <v>6</v>
      </c>
      <c r="F20" s="12">
        <f t="shared" si="0"/>
        <v>21000</v>
      </c>
      <c r="G20" s="12">
        <f t="shared" si="1"/>
        <v>1</v>
      </c>
      <c r="H20" s="12">
        <f t="shared" si="2"/>
        <v>3500</v>
      </c>
      <c r="I20" s="4" t="s">
        <v>141</v>
      </c>
      <c r="J20" s="4" t="s">
        <v>141</v>
      </c>
      <c r="K20" s="4" t="s">
        <v>141</v>
      </c>
      <c r="L20" s="4" t="s">
        <v>141</v>
      </c>
      <c r="M20" s="4" t="s">
        <v>141</v>
      </c>
      <c r="N20" s="4" t="s">
        <v>141</v>
      </c>
      <c r="O20" s="4" t="s">
        <v>142</v>
      </c>
    </row>
    <row r="21" spans="1:15" x14ac:dyDescent="0.3">
      <c r="A21" t="s">
        <v>35</v>
      </c>
      <c r="B21" s="5" t="s">
        <v>58</v>
      </c>
      <c r="C21" s="7">
        <v>38841</v>
      </c>
      <c r="D21" s="12">
        <v>3500</v>
      </c>
      <c r="E21" s="12">
        <v>4</v>
      </c>
      <c r="F21" s="12">
        <f t="shared" si="0"/>
        <v>14000</v>
      </c>
      <c r="G21" s="12">
        <f t="shared" si="1"/>
        <v>3</v>
      </c>
      <c r="H21" s="12">
        <f t="shared" si="2"/>
        <v>10500</v>
      </c>
      <c r="I21" s="4" t="s">
        <v>141</v>
      </c>
      <c r="J21" s="4" t="s">
        <v>141</v>
      </c>
      <c r="K21" s="4" t="s">
        <v>141</v>
      </c>
      <c r="L21" s="4" t="s">
        <v>141</v>
      </c>
      <c r="M21" s="4" t="s">
        <v>142</v>
      </c>
      <c r="N21" s="4" t="s">
        <v>142</v>
      </c>
      <c r="O21" s="4" t="s">
        <v>142</v>
      </c>
    </row>
    <row r="22" spans="1:15" x14ac:dyDescent="0.3">
      <c r="A22" t="s">
        <v>36</v>
      </c>
      <c r="B22" s="5" t="s">
        <v>59</v>
      </c>
      <c r="C22" s="7">
        <v>39309</v>
      </c>
      <c r="D22" s="12">
        <v>3500</v>
      </c>
      <c r="E22" s="12">
        <v>5</v>
      </c>
      <c r="F22" s="12">
        <f t="shared" si="0"/>
        <v>17500</v>
      </c>
      <c r="G22" s="12">
        <f t="shared" si="1"/>
        <v>2</v>
      </c>
      <c r="H22" s="12">
        <f t="shared" si="2"/>
        <v>7000</v>
      </c>
      <c r="I22" s="4" t="s">
        <v>141</v>
      </c>
      <c r="J22" s="4" t="s">
        <v>141</v>
      </c>
      <c r="K22" s="4" t="s">
        <v>141</v>
      </c>
      <c r="L22" s="4" t="s">
        <v>141</v>
      </c>
      <c r="M22" s="4" t="s">
        <v>141</v>
      </c>
      <c r="N22" s="4" t="s">
        <v>142</v>
      </c>
      <c r="O22" s="4" t="s">
        <v>142</v>
      </c>
    </row>
    <row r="23" spans="1:15" x14ac:dyDescent="0.3">
      <c r="A23" t="s">
        <v>37</v>
      </c>
      <c r="B23" s="5" t="s">
        <v>60</v>
      </c>
      <c r="C23" s="7">
        <v>38726</v>
      </c>
      <c r="D23" s="12">
        <v>3500</v>
      </c>
      <c r="E23" s="12">
        <v>6</v>
      </c>
      <c r="F23" s="12">
        <f t="shared" si="0"/>
        <v>21000</v>
      </c>
      <c r="G23" s="12">
        <f t="shared" si="1"/>
        <v>1</v>
      </c>
      <c r="H23" s="12">
        <f t="shared" si="2"/>
        <v>3500</v>
      </c>
      <c r="I23" s="4" t="s">
        <v>141</v>
      </c>
      <c r="J23" s="4" t="s">
        <v>141</v>
      </c>
      <c r="K23" s="4" t="s">
        <v>141</v>
      </c>
      <c r="L23" s="4" t="s">
        <v>141</v>
      </c>
      <c r="M23" s="4" t="s">
        <v>141</v>
      </c>
      <c r="N23" s="4" t="s">
        <v>141</v>
      </c>
      <c r="O23" s="4" t="s">
        <v>142</v>
      </c>
    </row>
    <row r="24" spans="1:15" x14ac:dyDescent="0.3">
      <c r="A24" t="s">
        <v>38</v>
      </c>
      <c r="B24" s="5" t="s">
        <v>61</v>
      </c>
      <c r="C24" s="7">
        <v>38468</v>
      </c>
      <c r="D24" s="12">
        <v>3500</v>
      </c>
      <c r="E24" s="12">
        <v>4</v>
      </c>
      <c r="F24" s="12">
        <f t="shared" si="0"/>
        <v>14000</v>
      </c>
      <c r="G24" s="12">
        <f t="shared" si="1"/>
        <v>3</v>
      </c>
      <c r="H24" s="12">
        <f t="shared" si="2"/>
        <v>10500</v>
      </c>
      <c r="I24" s="4" t="s">
        <v>141</v>
      </c>
      <c r="J24" s="4" t="s">
        <v>141</v>
      </c>
      <c r="K24" s="4" t="s">
        <v>141</v>
      </c>
      <c r="L24" s="4" t="s">
        <v>141</v>
      </c>
      <c r="M24" s="4" t="s">
        <v>142</v>
      </c>
      <c r="N24" s="4" t="s">
        <v>142</v>
      </c>
      <c r="O24" s="4" t="s">
        <v>142</v>
      </c>
    </row>
    <row r="25" spans="1:15" x14ac:dyDescent="0.3">
      <c r="A25" t="s">
        <v>39</v>
      </c>
      <c r="B25" s="5" t="s">
        <v>62</v>
      </c>
      <c r="C25" s="7">
        <v>39003</v>
      </c>
      <c r="D25" s="12">
        <v>3500</v>
      </c>
      <c r="E25" s="12">
        <v>3</v>
      </c>
      <c r="F25" s="12">
        <f t="shared" si="0"/>
        <v>10500</v>
      </c>
      <c r="G25" s="12">
        <f t="shared" si="1"/>
        <v>4</v>
      </c>
      <c r="H25" s="12">
        <f t="shared" si="2"/>
        <v>14000</v>
      </c>
      <c r="I25" s="4" t="s">
        <v>141</v>
      </c>
      <c r="J25" s="4" t="s">
        <v>141</v>
      </c>
      <c r="K25" s="4" t="s">
        <v>141</v>
      </c>
      <c r="L25" s="4" t="s">
        <v>142</v>
      </c>
      <c r="M25" s="4" t="s">
        <v>142</v>
      </c>
      <c r="N25" s="4" t="s">
        <v>142</v>
      </c>
      <c r="O25" s="4" t="s">
        <v>142</v>
      </c>
    </row>
  </sheetData>
  <mergeCells count="1">
    <mergeCell ref="N1:O1"/>
  </mergeCells>
  <phoneticPr fontId="4" type="noConversion"/>
  <dataValidations count="1">
    <dataValidation type="list" allowBlank="1" showInputMessage="1" showErrorMessage="1" sqref="I3:O25" xr:uid="{7A3329C6-0DA3-4D86-912B-55149D339C85}">
      <formula1>"Paid, Due"</formula1>
    </dataValidation>
  </dataValidations>
  <hyperlinks>
    <hyperlink ref="N1:O1" location="Dashboard!A1" display="Dashboard" xr:uid="{54D9CDAC-5D12-402B-94F8-68147C6C80C4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029E-5D30-42D7-A443-9ECFAECFC98A}">
  <dimension ref="A1:N24"/>
  <sheetViews>
    <sheetView tabSelected="1" workbookViewId="0"/>
  </sheetViews>
  <sheetFormatPr defaultRowHeight="14.4" x14ac:dyDescent="0.3"/>
  <cols>
    <col min="1" max="1" width="9.6640625" bestFit="1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2.88671875" bestFit="1" customWidth="1"/>
  </cols>
  <sheetData>
    <row r="1" spans="1:14" ht="33" customHeight="1" x14ac:dyDescent="0.3">
      <c r="A1" s="14" t="s">
        <v>268</v>
      </c>
      <c r="B1" s="10" t="s">
        <v>5</v>
      </c>
      <c r="C1" s="10">
        <f>COUNTA(A3:A24)</f>
        <v>22</v>
      </c>
      <c r="D1" s="10">
        <f>SUM(D3:D24)*6</f>
        <v>462000</v>
      </c>
      <c r="E1" s="10"/>
      <c r="F1" s="10">
        <f>SUM(F3:F24)</f>
        <v>252000</v>
      </c>
      <c r="G1" s="10"/>
      <c r="H1" s="10">
        <f>SUM(H3:H24)</f>
        <v>210000</v>
      </c>
      <c r="M1" s="16" t="s">
        <v>269</v>
      </c>
      <c r="N1" s="16"/>
    </row>
    <row r="2" spans="1:14" ht="39" customHeight="1" x14ac:dyDescent="0.3">
      <c r="A2" s="5" t="s">
        <v>4</v>
      </c>
      <c r="B2" s="3" t="s">
        <v>2</v>
      </c>
      <c r="C2" s="4" t="s">
        <v>6</v>
      </c>
      <c r="D2" s="6" t="s">
        <v>7</v>
      </c>
      <c r="E2" s="6" t="s">
        <v>8</v>
      </c>
      <c r="F2" s="6" t="s">
        <v>3</v>
      </c>
      <c r="G2" s="6" t="s">
        <v>140</v>
      </c>
      <c r="H2" s="6" t="s">
        <v>10</v>
      </c>
      <c r="I2" s="4" t="s">
        <v>11</v>
      </c>
      <c r="J2" s="4" t="s">
        <v>12</v>
      </c>
      <c r="K2" s="4" t="s">
        <v>13</v>
      </c>
      <c r="L2" s="4" t="s">
        <v>9</v>
      </c>
      <c r="M2" s="4" t="s">
        <v>14</v>
      </c>
      <c r="N2" s="4" t="s">
        <v>15</v>
      </c>
    </row>
    <row r="3" spans="1:14" x14ac:dyDescent="0.3">
      <c r="A3" t="s">
        <v>143</v>
      </c>
      <c r="B3" s="5" t="s">
        <v>63</v>
      </c>
      <c r="C3" s="7">
        <v>39003</v>
      </c>
      <c r="D3" s="4">
        <v>3500</v>
      </c>
      <c r="E3" s="4">
        <v>5</v>
      </c>
      <c r="F3" s="4">
        <f>D3*E3</f>
        <v>17500</v>
      </c>
      <c r="G3" s="4">
        <f t="shared" ref="G3:G24" si="0">6-E3</f>
        <v>1</v>
      </c>
      <c r="H3" s="4">
        <f>D3*G3</f>
        <v>3500</v>
      </c>
      <c r="I3" s="4" t="s">
        <v>141</v>
      </c>
      <c r="J3" s="4" t="s">
        <v>141</v>
      </c>
      <c r="K3" s="4" t="s">
        <v>141</v>
      </c>
      <c r="L3" s="4" t="s">
        <v>141</v>
      </c>
      <c r="M3" s="4" t="s">
        <v>141</v>
      </c>
      <c r="N3" s="4" t="s">
        <v>142</v>
      </c>
    </row>
    <row r="4" spans="1:14" x14ac:dyDescent="0.3">
      <c r="A4" t="s">
        <v>144</v>
      </c>
      <c r="B4" s="5" t="s">
        <v>64</v>
      </c>
      <c r="C4" s="7">
        <v>39423</v>
      </c>
      <c r="D4" s="4">
        <v>3500</v>
      </c>
      <c r="E4" s="4">
        <v>2</v>
      </c>
      <c r="F4" s="4">
        <f t="shared" ref="F4:F24" si="1">D4*E4</f>
        <v>7000</v>
      </c>
      <c r="G4" s="4">
        <f t="shared" si="0"/>
        <v>4</v>
      </c>
      <c r="H4" s="4">
        <f t="shared" ref="H4:H24" si="2">D4*G4</f>
        <v>14000</v>
      </c>
      <c r="I4" s="4" t="s">
        <v>141</v>
      </c>
      <c r="J4" s="4" t="s">
        <v>141</v>
      </c>
      <c r="K4" s="4" t="s">
        <v>142</v>
      </c>
      <c r="L4" s="4" t="s">
        <v>142</v>
      </c>
      <c r="M4" s="4" t="s">
        <v>142</v>
      </c>
      <c r="N4" s="4" t="s">
        <v>142</v>
      </c>
    </row>
    <row r="5" spans="1:14" x14ac:dyDescent="0.3">
      <c r="A5" t="s">
        <v>145</v>
      </c>
      <c r="B5" s="5" t="s">
        <v>65</v>
      </c>
      <c r="C5" s="7">
        <v>38523</v>
      </c>
      <c r="D5" s="4">
        <v>3500</v>
      </c>
      <c r="E5" s="4">
        <v>3</v>
      </c>
      <c r="F5" s="4">
        <f t="shared" si="1"/>
        <v>10500</v>
      </c>
      <c r="G5" s="4">
        <f t="shared" si="0"/>
        <v>3</v>
      </c>
      <c r="H5" s="4">
        <f t="shared" si="2"/>
        <v>10500</v>
      </c>
      <c r="I5" s="4" t="s">
        <v>141</v>
      </c>
      <c r="J5" s="4" t="s">
        <v>141</v>
      </c>
      <c r="K5" s="4" t="s">
        <v>141</v>
      </c>
      <c r="L5" s="4" t="s">
        <v>142</v>
      </c>
      <c r="M5" s="4" t="s">
        <v>142</v>
      </c>
      <c r="N5" s="4" t="s">
        <v>142</v>
      </c>
    </row>
    <row r="6" spans="1:14" x14ac:dyDescent="0.3">
      <c r="A6" t="s">
        <v>146</v>
      </c>
      <c r="B6" s="5" t="s">
        <v>66</v>
      </c>
      <c r="C6" s="7">
        <v>38963</v>
      </c>
      <c r="D6" s="4">
        <v>3500</v>
      </c>
      <c r="E6" s="4">
        <v>4</v>
      </c>
      <c r="F6" s="4">
        <f t="shared" si="1"/>
        <v>14000</v>
      </c>
      <c r="G6" s="4">
        <f t="shared" si="0"/>
        <v>2</v>
      </c>
      <c r="H6" s="4">
        <f t="shared" si="2"/>
        <v>7000</v>
      </c>
      <c r="I6" s="4" t="s">
        <v>141</v>
      </c>
      <c r="J6" s="4" t="s">
        <v>141</v>
      </c>
      <c r="K6" s="4" t="s">
        <v>141</v>
      </c>
      <c r="L6" s="4" t="s">
        <v>141</v>
      </c>
      <c r="M6" s="4" t="s">
        <v>142</v>
      </c>
      <c r="N6" s="4" t="s">
        <v>142</v>
      </c>
    </row>
    <row r="7" spans="1:14" x14ac:dyDescent="0.3">
      <c r="A7" t="s">
        <v>147</v>
      </c>
      <c r="B7" s="5" t="s">
        <v>67</v>
      </c>
      <c r="C7" s="7">
        <v>39130</v>
      </c>
      <c r="D7" s="4">
        <v>3500</v>
      </c>
      <c r="E7" s="4">
        <v>2</v>
      </c>
      <c r="F7" s="4">
        <f t="shared" si="1"/>
        <v>7000</v>
      </c>
      <c r="G7" s="4">
        <f t="shared" si="0"/>
        <v>4</v>
      </c>
      <c r="H7" s="4">
        <f t="shared" si="2"/>
        <v>14000</v>
      </c>
      <c r="I7" s="4" t="s">
        <v>141</v>
      </c>
      <c r="J7" s="4" t="s">
        <v>141</v>
      </c>
      <c r="K7" s="4" t="s">
        <v>142</v>
      </c>
      <c r="L7" s="4" t="s">
        <v>142</v>
      </c>
      <c r="M7" s="4" t="s">
        <v>142</v>
      </c>
      <c r="N7" s="4" t="s">
        <v>142</v>
      </c>
    </row>
    <row r="8" spans="1:14" x14ac:dyDescent="0.3">
      <c r="A8" t="s">
        <v>148</v>
      </c>
      <c r="B8" s="5" t="s">
        <v>68</v>
      </c>
      <c r="C8" s="7">
        <v>38685</v>
      </c>
      <c r="D8" s="4">
        <v>3500</v>
      </c>
      <c r="E8" s="4">
        <v>1</v>
      </c>
      <c r="F8" s="4">
        <f t="shared" si="1"/>
        <v>3500</v>
      </c>
      <c r="G8" s="4">
        <f t="shared" si="0"/>
        <v>5</v>
      </c>
      <c r="H8" s="4">
        <f t="shared" si="2"/>
        <v>17500</v>
      </c>
      <c r="I8" s="4" t="s">
        <v>141</v>
      </c>
      <c r="J8" s="4" t="s">
        <v>142</v>
      </c>
      <c r="K8" s="4" t="s">
        <v>142</v>
      </c>
      <c r="L8" s="4" t="s">
        <v>142</v>
      </c>
      <c r="M8" s="4" t="s">
        <v>142</v>
      </c>
      <c r="N8" s="4" t="s">
        <v>142</v>
      </c>
    </row>
    <row r="9" spans="1:14" x14ac:dyDescent="0.3">
      <c r="A9" t="s">
        <v>149</v>
      </c>
      <c r="B9" s="5" t="s">
        <v>69</v>
      </c>
      <c r="C9" s="7">
        <v>38813</v>
      </c>
      <c r="D9" s="4">
        <v>3500</v>
      </c>
      <c r="E9" s="4">
        <v>4</v>
      </c>
      <c r="F9" s="4">
        <f t="shared" si="1"/>
        <v>14000</v>
      </c>
      <c r="G9" s="4">
        <f t="shared" si="0"/>
        <v>2</v>
      </c>
      <c r="H9" s="4">
        <f t="shared" si="2"/>
        <v>7000</v>
      </c>
      <c r="I9" s="4" t="s">
        <v>141</v>
      </c>
      <c r="J9" s="4" t="s">
        <v>141</v>
      </c>
      <c r="K9" s="4" t="s">
        <v>141</v>
      </c>
      <c r="L9" s="4" t="s">
        <v>141</v>
      </c>
      <c r="M9" s="4" t="s">
        <v>142</v>
      </c>
      <c r="N9" s="4" t="s">
        <v>142</v>
      </c>
    </row>
    <row r="10" spans="1:14" x14ac:dyDescent="0.3">
      <c r="A10" t="s">
        <v>150</v>
      </c>
      <c r="B10" s="5" t="s">
        <v>70</v>
      </c>
      <c r="C10" s="7">
        <v>39285</v>
      </c>
      <c r="D10" s="4">
        <v>3500</v>
      </c>
      <c r="E10" s="4">
        <v>5</v>
      </c>
      <c r="F10" s="4">
        <f t="shared" si="1"/>
        <v>17500</v>
      </c>
      <c r="G10" s="4">
        <f t="shared" si="0"/>
        <v>1</v>
      </c>
      <c r="H10" s="4">
        <f t="shared" si="2"/>
        <v>3500</v>
      </c>
      <c r="I10" s="4" t="s">
        <v>141</v>
      </c>
      <c r="J10" s="4" t="s">
        <v>141</v>
      </c>
      <c r="K10" s="4" t="s">
        <v>141</v>
      </c>
      <c r="L10" s="4" t="s">
        <v>141</v>
      </c>
      <c r="M10" s="4" t="s">
        <v>141</v>
      </c>
      <c r="N10" s="4" t="s">
        <v>142</v>
      </c>
    </row>
    <row r="11" spans="1:14" x14ac:dyDescent="0.3">
      <c r="A11" t="s">
        <v>151</v>
      </c>
      <c r="B11" s="5" t="s">
        <v>71</v>
      </c>
      <c r="C11" s="7">
        <v>38728</v>
      </c>
      <c r="D11" s="4">
        <v>3500</v>
      </c>
      <c r="E11" s="4">
        <v>4</v>
      </c>
      <c r="F11" s="4">
        <f t="shared" si="1"/>
        <v>14000</v>
      </c>
      <c r="G11" s="4">
        <f t="shared" si="0"/>
        <v>2</v>
      </c>
      <c r="H11" s="4">
        <f t="shared" si="2"/>
        <v>7000</v>
      </c>
      <c r="I11" s="4" t="s">
        <v>141</v>
      </c>
      <c r="J11" s="4" t="s">
        <v>141</v>
      </c>
      <c r="K11" s="4" t="s">
        <v>141</v>
      </c>
      <c r="L11" s="4" t="s">
        <v>141</v>
      </c>
      <c r="M11" s="4" t="s">
        <v>142</v>
      </c>
      <c r="N11" s="4" t="s">
        <v>142</v>
      </c>
    </row>
    <row r="12" spans="1:14" x14ac:dyDescent="0.3">
      <c r="A12" t="s">
        <v>152</v>
      </c>
      <c r="B12" s="5" t="s">
        <v>72</v>
      </c>
      <c r="C12" s="7">
        <v>38496</v>
      </c>
      <c r="D12" s="4">
        <v>3500</v>
      </c>
      <c r="E12" s="4">
        <v>2</v>
      </c>
      <c r="F12" s="4">
        <f t="shared" si="1"/>
        <v>7000</v>
      </c>
      <c r="G12" s="4">
        <f t="shared" si="0"/>
        <v>4</v>
      </c>
      <c r="H12" s="4">
        <f t="shared" si="2"/>
        <v>14000</v>
      </c>
      <c r="I12" s="4" t="s">
        <v>141</v>
      </c>
      <c r="J12" s="4" t="s">
        <v>141</v>
      </c>
      <c r="K12" s="4" t="s">
        <v>142</v>
      </c>
      <c r="L12" s="4" t="s">
        <v>142</v>
      </c>
      <c r="M12" s="4" t="s">
        <v>142</v>
      </c>
      <c r="N12" s="4" t="s">
        <v>142</v>
      </c>
    </row>
    <row r="13" spans="1:14" x14ac:dyDescent="0.3">
      <c r="A13" t="s">
        <v>153</v>
      </c>
      <c r="B13" s="5" t="s">
        <v>73</v>
      </c>
      <c r="C13" s="7">
        <v>38998</v>
      </c>
      <c r="D13" s="4">
        <v>3500</v>
      </c>
      <c r="E13" s="4">
        <v>4</v>
      </c>
      <c r="F13" s="4">
        <f t="shared" si="1"/>
        <v>14000</v>
      </c>
      <c r="G13" s="4">
        <f t="shared" si="0"/>
        <v>2</v>
      </c>
      <c r="H13" s="4">
        <f t="shared" si="2"/>
        <v>7000</v>
      </c>
      <c r="I13" s="4" t="s">
        <v>141</v>
      </c>
      <c r="J13" s="4" t="s">
        <v>141</v>
      </c>
      <c r="K13" s="4" t="s">
        <v>141</v>
      </c>
      <c r="L13" s="4" t="s">
        <v>141</v>
      </c>
      <c r="M13" s="4" t="s">
        <v>142</v>
      </c>
      <c r="N13" s="4" t="s">
        <v>142</v>
      </c>
    </row>
    <row r="14" spans="1:14" x14ac:dyDescent="0.3">
      <c r="A14" t="s">
        <v>154</v>
      </c>
      <c r="B14" s="5" t="s">
        <v>74</v>
      </c>
      <c r="C14" s="7">
        <v>39430</v>
      </c>
      <c r="D14" s="4">
        <v>3500</v>
      </c>
      <c r="E14" s="4">
        <v>3</v>
      </c>
      <c r="F14" s="4">
        <f t="shared" si="1"/>
        <v>10500</v>
      </c>
      <c r="G14" s="4">
        <f t="shared" si="0"/>
        <v>3</v>
      </c>
      <c r="H14" s="4">
        <f t="shared" si="2"/>
        <v>10500</v>
      </c>
      <c r="I14" s="4" t="s">
        <v>141</v>
      </c>
      <c r="J14" s="4" t="s">
        <v>141</v>
      </c>
      <c r="K14" s="4" t="s">
        <v>141</v>
      </c>
      <c r="L14" s="4" t="s">
        <v>142</v>
      </c>
      <c r="M14" s="4" t="s">
        <v>142</v>
      </c>
      <c r="N14" s="4" t="s">
        <v>142</v>
      </c>
    </row>
    <row r="15" spans="1:14" x14ac:dyDescent="0.3">
      <c r="A15" t="s">
        <v>155</v>
      </c>
      <c r="B15" s="5" t="s">
        <v>75</v>
      </c>
      <c r="C15" s="7">
        <v>38505</v>
      </c>
      <c r="D15" s="4">
        <v>3500</v>
      </c>
      <c r="E15" s="4">
        <v>4</v>
      </c>
      <c r="F15" s="4">
        <f t="shared" si="1"/>
        <v>14000</v>
      </c>
      <c r="G15" s="4">
        <f t="shared" si="0"/>
        <v>2</v>
      </c>
      <c r="H15" s="4">
        <f t="shared" si="2"/>
        <v>7000</v>
      </c>
      <c r="I15" s="4" t="s">
        <v>141</v>
      </c>
      <c r="J15" s="4" t="s">
        <v>141</v>
      </c>
      <c r="K15" s="4" t="s">
        <v>141</v>
      </c>
      <c r="L15" s="4" t="s">
        <v>141</v>
      </c>
      <c r="M15" s="4" t="s">
        <v>142</v>
      </c>
      <c r="N15" s="4" t="s">
        <v>142</v>
      </c>
    </row>
    <row r="16" spans="1:14" x14ac:dyDescent="0.3">
      <c r="A16" t="s">
        <v>156</v>
      </c>
      <c r="B16" s="5" t="s">
        <v>76</v>
      </c>
      <c r="C16" s="7">
        <v>38979</v>
      </c>
      <c r="D16" s="4">
        <v>3500</v>
      </c>
      <c r="E16" s="4">
        <v>4</v>
      </c>
      <c r="F16" s="4">
        <f t="shared" si="1"/>
        <v>14000</v>
      </c>
      <c r="G16" s="4">
        <f t="shared" si="0"/>
        <v>2</v>
      </c>
      <c r="H16" s="4">
        <f t="shared" si="2"/>
        <v>7000</v>
      </c>
      <c r="I16" s="4" t="s">
        <v>141</v>
      </c>
      <c r="J16" s="4" t="s">
        <v>141</v>
      </c>
      <c r="K16" s="4" t="s">
        <v>141</v>
      </c>
      <c r="L16" s="4" t="s">
        <v>141</v>
      </c>
      <c r="M16" s="4" t="s">
        <v>142</v>
      </c>
      <c r="N16" s="4" t="s">
        <v>142</v>
      </c>
    </row>
    <row r="17" spans="1:14" x14ac:dyDescent="0.3">
      <c r="A17" t="s">
        <v>157</v>
      </c>
      <c r="B17" s="5" t="s">
        <v>77</v>
      </c>
      <c r="C17" s="7">
        <v>39148</v>
      </c>
      <c r="D17" s="4">
        <v>3500</v>
      </c>
      <c r="E17" s="4">
        <v>4</v>
      </c>
      <c r="F17" s="4">
        <f t="shared" si="1"/>
        <v>14000</v>
      </c>
      <c r="G17" s="4">
        <f t="shared" si="0"/>
        <v>2</v>
      </c>
      <c r="H17" s="4">
        <f t="shared" si="2"/>
        <v>7000</v>
      </c>
      <c r="I17" s="4" t="s">
        <v>141</v>
      </c>
      <c r="J17" s="4" t="s">
        <v>141</v>
      </c>
      <c r="K17" s="4" t="s">
        <v>141</v>
      </c>
      <c r="L17" s="4" t="s">
        <v>141</v>
      </c>
      <c r="M17" s="4" t="s">
        <v>142</v>
      </c>
      <c r="N17" s="4" t="s">
        <v>142</v>
      </c>
    </row>
    <row r="18" spans="1:14" x14ac:dyDescent="0.3">
      <c r="A18" t="s">
        <v>158</v>
      </c>
      <c r="B18" s="5" t="s">
        <v>78</v>
      </c>
      <c r="C18" s="7">
        <v>38684</v>
      </c>
      <c r="D18" s="4">
        <v>3500</v>
      </c>
      <c r="E18" s="4">
        <v>2</v>
      </c>
      <c r="F18" s="4">
        <f t="shared" si="1"/>
        <v>7000</v>
      </c>
      <c r="G18" s="4">
        <f t="shared" si="0"/>
        <v>4</v>
      </c>
      <c r="H18" s="4">
        <f t="shared" si="2"/>
        <v>14000</v>
      </c>
      <c r="I18" s="4" t="s">
        <v>141</v>
      </c>
      <c r="J18" s="4" t="s">
        <v>141</v>
      </c>
      <c r="K18" s="4" t="s">
        <v>142</v>
      </c>
      <c r="L18" s="4" t="s">
        <v>142</v>
      </c>
      <c r="M18" s="4" t="s">
        <v>142</v>
      </c>
      <c r="N18" s="4" t="s">
        <v>142</v>
      </c>
    </row>
    <row r="19" spans="1:14" x14ac:dyDescent="0.3">
      <c r="A19" t="s">
        <v>159</v>
      </c>
      <c r="B19" s="5" t="s">
        <v>79</v>
      </c>
      <c r="C19" s="7">
        <v>38812</v>
      </c>
      <c r="D19" s="4">
        <v>3500</v>
      </c>
      <c r="E19" s="4">
        <v>3</v>
      </c>
      <c r="F19" s="4">
        <f t="shared" si="1"/>
        <v>10500</v>
      </c>
      <c r="G19" s="4">
        <f t="shared" si="0"/>
        <v>3</v>
      </c>
      <c r="H19" s="4">
        <f t="shared" si="2"/>
        <v>10500</v>
      </c>
      <c r="I19" s="4" t="s">
        <v>141</v>
      </c>
      <c r="J19" s="4" t="s">
        <v>141</v>
      </c>
      <c r="K19" s="4" t="s">
        <v>141</v>
      </c>
      <c r="L19" s="4" t="s">
        <v>142</v>
      </c>
      <c r="M19" s="4" t="s">
        <v>142</v>
      </c>
      <c r="N19" s="4" t="s">
        <v>142</v>
      </c>
    </row>
    <row r="20" spans="1:14" x14ac:dyDescent="0.3">
      <c r="A20" t="s">
        <v>160</v>
      </c>
      <c r="B20" s="5" t="s">
        <v>80</v>
      </c>
      <c r="C20" s="7">
        <v>39310</v>
      </c>
      <c r="D20" s="4">
        <v>3500</v>
      </c>
      <c r="E20" s="4">
        <v>5</v>
      </c>
      <c r="F20" s="4">
        <f t="shared" si="1"/>
        <v>17500</v>
      </c>
      <c r="G20" s="4">
        <f t="shared" si="0"/>
        <v>1</v>
      </c>
      <c r="H20" s="4">
        <f t="shared" si="2"/>
        <v>3500</v>
      </c>
      <c r="I20" s="4" t="s">
        <v>141</v>
      </c>
      <c r="J20" s="4" t="s">
        <v>141</v>
      </c>
      <c r="K20" s="4" t="s">
        <v>141</v>
      </c>
      <c r="L20" s="4" t="s">
        <v>141</v>
      </c>
      <c r="M20" s="4" t="s">
        <v>141</v>
      </c>
      <c r="N20" s="4" t="s">
        <v>142</v>
      </c>
    </row>
    <row r="21" spans="1:14" x14ac:dyDescent="0.3">
      <c r="A21" t="s">
        <v>161</v>
      </c>
      <c r="B21" s="5" t="s">
        <v>81</v>
      </c>
      <c r="C21" s="7">
        <v>38757</v>
      </c>
      <c r="D21" s="4">
        <v>3500</v>
      </c>
      <c r="E21" s="4">
        <v>4</v>
      </c>
      <c r="F21" s="4">
        <f t="shared" si="1"/>
        <v>14000</v>
      </c>
      <c r="G21" s="4">
        <f t="shared" si="0"/>
        <v>2</v>
      </c>
      <c r="H21" s="4">
        <f t="shared" si="2"/>
        <v>7000</v>
      </c>
      <c r="I21" s="4" t="s">
        <v>141</v>
      </c>
      <c r="J21" s="4" t="s">
        <v>141</v>
      </c>
      <c r="K21" s="4" t="s">
        <v>141</v>
      </c>
      <c r="L21" s="4" t="s">
        <v>141</v>
      </c>
      <c r="M21" s="4" t="s">
        <v>142</v>
      </c>
      <c r="N21" s="4" t="s">
        <v>142</v>
      </c>
    </row>
    <row r="22" spans="1:14" x14ac:dyDescent="0.3">
      <c r="A22" t="s">
        <v>162</v>
      </c>
      <c r="B22" s="5" t="s">
        <v>82</v>
      </c>
      <c r="C22" s="7">
        <v>38493</v>
      </c>
      <c r="D22" s="4">
        <v>3500</v>
      </c>
      <c r="E22" s="4">
        <v>2</v>
      </c>
      <c r="F22" s="4">
        <f t="shared" si="1"/>
        <v>7000</v>
      </c>
      <c r="G22" s="4">
        <f t="shared" si="0"/>
        <v>4</v>
      </c>
      <c r="H22" s="4">
        <f t="shared" si="2"/>
        <v>14000</v>
      </c>
      <c r="I22" s="4" t="s">
        <v>141</v>
      </c>
      <c r="J22" s="4" t="s">
        <v>141</v>
      </c>
      <c r="K22" s="4" t="s">
        <v>142</v>
      </c>
      <c r="L22" s="4" t="s">
        <v>142</v>
      </c>
      <c r="M22" s="4" t="s">
        <v>142</v>
      </c>
      <c r="N22" s="4" t="s">
        <v>142</v>
      </c>
    </row>
    <row r="23" spans="1:14" x14ac:dyDescent="0.3">
      <c r="A23" t="s">
        <v>163</v>
      </c>
      <c r="B23" s="5" t="s">
        <v>83</v>
      </c>
      <c r="C23" s="7">
        <v>39003</v>
      </c>
      <c r="D23" s="4">
        <v>3500</v>
      </c>
      <c r="E23" s="4">
        <v>3</v>
      </c>
      <c r="F23" s="4">
        <f t="shared" si="1"/>
        <v>10500</v>
      </c>
      <c r="G23" s="4">
        <f t="shared" si="0"/>
        <v>3</v>
      </c>
      <c r="H23" s="4">
        <f t="shared" si="2"/>
        <v>10500</v>
      </c>
      <c r="I23" s="4" t="s">
        <v>141</v>
      </c>
      <c r="J23" s="4" t="s">
        <v>141</v>
      </c>
      <c r="K23" s="4" t="s">
        <v>141</v>
      </c>
      <c r="L23" s="4" t="s">
        <v>142</v>
      </c>
      <c r="M23" s="4" t="s">
        <v>142</v>
      </c>
      <c r="N23" s="4" t="s">
        <v>142</v>
      </c>
    </row>
    <row r="24" spans="1:14" x14ac:dyDescent="0.3">
      <c r="A24" t="s">
        <v>164</v>
      </c>
      <c r="B24" s="5" t="s">
        <v>84</v>
      </c>
      <c r="C24" s="11">
        <v>38482</v>
      </c>
      <c r="D24" s="4">
        <v>3500</v>
      </c>
      <c r="E24" s="4">
        <v>2</v>
      </c>
      <c r="F24" s="4">
        <f t="shared" si="1"/>
        <v>7000</v>
      </c>
      <c r="G24" s="4">
        <f t="shared" si="0"/>
        <v>4</v>
      </c>
      <c r="H24" s="4">
        <f t="shared" si="2"/>
        <v>14000</v>
      </c>
      <c r="I24" s="4" t="s">
        <v>141</v>
      </c>
      <c r="J24" s="4" t="s">
        <v>141</v>
      </c>
      <c r="K24" s="4" t="s">
        <v>142</v>
      </c>
      <c r="L24" s="4" t="s">
        <v>142</v>
      </c>
      <c r="M24" s="4" t="s">
        <v>142</v>
      </c>
      <c r="N24" s="4" t="s">
        <v>142</v>
      </c>
    </row>
  </sheetData>
  <mergeCells count="1">
    <mergeCell ref="M1:N1"/>
  </mergeCells>
  <phoneticPr fontId="4" type="noConversion"/>
  <dataValidations count="1">
    <dataValidation type="list" allowBlank="1" showInputMessage="1" showErrorMessage="1" sqref="I3:N24" xr:uid="{DAE2F36D-BF3C-4E71-8F10-772EF9FF54A0}">
      <formula1>"Paid, Due"</formula1>
    </dataValidation>
  </dataValidations>
  <hyperlinks>
    <hyperlink ref="M1:N1" location="Dashboard!A1" display="Dashboard" xr:uid="{A6B6C267-0264-4B9B-952B-80084F16F287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AD44-CD16-45C4-9524-2D29481E5425}">
  <dimension ref="A1:P18"/>
  <sheetViews>
    <sheetView workbookViewId="0"/>
  </sheetViews>
  <sheetFormatPr defaultRowHeight="14.4" x14ac:dyDescent="0.3"/>
  <cols>
    <col min="1" max="1" width="17.6640625" bestFit="1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2.88671875" bestFit="1" customWidth="1"/>
  </cols>
  <sheetData>
    <row r="1" spans="1:16" ht="30" customHeight="1" x14ac:dyDescent="0.3">
      <c r="A1" s="14" t="s">
        <v>270</v>
      </c>
      <c r="B1" s="10" t="s">
        <v>5</v>
      </c>
      <c r="C1" s="13">
        <f>COUNTA(A3:A18)</f>
        <v>16</v>
      </c>
      <c r="D1" s="13">
        <f>SUM(D3:D18)*8</f>
        <v>640000</v>
      </c>
      <c r="E1" s="10"/>
      <c r="F1" s="13">
        <f>SUM(F3:F18)</f>
        <v>575000</v>
      </c>
      <c r="G1" s="10"/>
      <c r="H1" s="13">
        <f>SUM(H3:H18)</f>
        <v>65000</v>
      </c>
      <c r="O1" s="16" t="s">
        <v>269</v>
      </c>
      <c r="P1" s="16"/>
    </row>
    <row r="2" spans="1:16" ht="28.8" x14ac:dyDescent="0.3">
      <c r="A2" s="3" t="s">
        <v>4</v>
      </c>
      <c r="B2" s="3" t="s">
        <v>2</v>
      </c>
      <c r="C2" s="4" t="s">
        <v>6</v>
      </c>
      <c r="D2" s="6" t="s">
        <v>7</v>
      </c>
      <c r="E2" s="6" t="s">
        <v>8</v>
      </c>
      <c r="F2" s="6" t="s">
        <v>3</v>
      </c>
      <c r="G2" s="6" t="s">
        <v>140</v>
      </c>
      <c r="H2" s="6" t="s">
        <v>10</v>
      </c>
      <c r="I2" s="4" t="s">
        <v>11</v>
      </c>
      <c r="J2" s="4" t="s">
        <v>12</v>
      </c>
      <c r="K2" s="4" t="s">
        <v>13</v>
      </c>
      <c r="L2" s="4" t="s">
        <v>9</v>
      </c>
      <c r="M2" s="4" t="s">
        <v>14</v>
      </c>
      <c r="N2" s="4" t="s">
        <v>15</v>
      </c>
      <c r="O2" s="4" t="s">
        <v>16</v>
      </c>
      <c r="P2" s="4" t="s">
        <v>181</v>
      </c>
    </row>
    <row r="3" spans="1:16" x14ac:dyDescent="0.3">
      <c r="A3" t="s">
        <v>165</v>
      </c>
      <c r="B3" s="5" t="s">
        <v>83</v>
      </c>
      <c r="C3" s="7">
        <v>39443</v>
      </c>
      <c r="D3" s="4">
        <v>5000</v>
      </c>
      <c r="E3" s="4">
        <v>7</v>
      </c>
      <c r="F3" s="4">
        <f>D3*E3</f>
        <v>35000</v>
      </c>
      <c r="G3" s="4">
        <f t="shared" ref="G3:G18" si="0">8-E3</f>
        <v>1</v>
      </c>
      <c r="H3" s="4">
        <f>D3*G3</f>
        <v>5000</v>
      </c>
      <c r="I3" s="4" t="s">
        <v>141</v>
      </c>
      <c r="J3" s="4" t="s">
        <v>141</v>
      </c>
      <c r="K3" s="4" t="s">
        <v>141</v>
      </c>
      <c r="L3" s="4" t="s">
        <v>141</v>
      </c>
      <c r="M3" s="4" t="s">
        <v>141</v>
      </c>
      <c r="N3" s="4" t="s">
        <v>141</v>
      </c>
      <c r="O3" s="4" t="s">
        <v>141</v>
      </c>
      <c r="P3" s="4" t="s">
        <v>142</v>
      </c>
    </row>
    <row r="4" spans="1:16" x14ac:dyDescent="0.3">
      <c r="A4" t="s">
        <v>166</v>
      </c>
      <c r="B4" s="5" t="s">
        <v>84</v>
      </c>
      <c r="C4" s="7">
        <v>38509</v>
      </c>
      <c r="D4" s="4">
        <v>5000</v>
      </c>
      <c r="E4" s="4">
        <v>8</v>
      </c>
      <c r="F4" s="4">
        <f t="shared" ref="F4:F18" si="1">D4*E4</f>
        <v>40000</v>
      </c>
      <c r="G4" s="4">
        <f t="shared" si="0"/>
        <v>0</v>
      </c>
      <c r="H4" s="4">
        <f t="shared" ref="H4:H18" si="2">D4*G4</f>
        <v>0</v>
      </c>
      <c r="I4" s="4" t="s">
        <v>141</v>
      </c>
      <c r="J4" s="4" t="s">
        <v>141</v>
      </c>
      <c r="K4" s="4" t="s">
        <v>141</v>
      </c>
      <c r="L4" s="4" t="s">
        <v>141</v>
      </c>
      <c r="M4" s="4" t="s">
        <v>141</v>
      </c>
      <c r="N4" s="4" t="s">
        <v>141</v>
      </c>
      <c r="O4" s="4" t="s">
        <v>141</v>
      </c>
      <c r="P4" s="4" t="s">
        <v>141</v>
      </c>
    </row>
    <row r="5" spans="1:16" x14ac:dyDescent="0.3">
      <c r="A5" t="s">
        <v>167</v>
      </c>
      <c r="B5" s="5" t="s">
        <v>85</v>
      </c>
      <c r="C5" s="7">
        <v>38978</v>
      </c>
      <c r="D5" s="4">
        <v>5000</v>
      </c>
      <c r="E5" s="4">
        <v>7</v>
      </c>
      <c r="F5" s="4">
        <f t="shared" si="1"/>
        <v>35000</v>
      </c>
      <c r="G5" s="4">
        <f t="shared" si="0"/>
        <v>1</v>
      </c>
      <c r="H5" s="4">
        <f t="shared" si="2"/>
        <v>5000</v>
      </c>
      <c r="I5" s="4" t="s">
        <v>141</v>
      </c>
      <c r="J5" s="4" t="s">
        <v>141</v>
      </c>
      <c r="K5" s="4" t="s">
        <v>141</v>
      </c>
      <c r="L5" s="4" t="s">
        <v>141</v>
      </c>
      <c r="M5" s="4" t="s">
        <v>141</v>
      </c>
      <c r="N5" s="4" t="s">
        <v>141</v>
      </c>
      <c r="O5" s="4" t="s">
        <v>141</v>
      </c>
      <c r="P5" s="4" t="s">
        <v>142</v>
      </c>
    </row>
    <row r="6" spans="1:16" x14ac:dyDescent="0.3">
      <c r="A6" t="s">
        <v>168</v>
      </c>
      <c r="B6" s="5" t="s">
        <v>86</v>
      </c>
      <c r="C6" s="7">
        <v>39086</v>
      </c>
      <c r="D6" s="4">
        <v>5000</v>
      </c>
      <c r="E6" s="4">
        <v>6</v>
      </c>
      <c r="F6" s="4">
        <f t="shared" si="1"/>
        <v>30000</v>
      </c>
      <c r="G6" s="4">
        <f t="shared" si="0"/>
        <v>2</v>
      </c>
      <c r="H6" s="4">
        <f t="shared" si="2"/>
        <v>10000</v>
      </c>
      <c r="I6" s="4" t="s">
        <v>141</v>
      </c>
      <c r="J6" s="4" t="s">
        <v>141</v>
      </c>
      <c r="K6" s="4" t="s">
        <v>141</v>
      </c>
      <c r="L6" s="4" t="s">
        <v>141</v>
      </c>
      <c r="M6" s="4" t="s">
        <v>141</v>
      </c>
      <c r="N6" s="4" t="s">
        <v>141</v>
      </c>
      <c r="O6" s="4" t="s">
        <v>142</v>
      </c>
      <c r="P6" s="4" t="s">
        <v>142</v>
      </c>
    </row>
    <row r="7" spans="1:16" x14ac:dyDescent="0.3">
      <c r="A7" t="s">
        <v>169</v>
      </c>
      <c r="B7" s="5" t="s">
        <v>87</v>
      </c>
      <c r="C7" s="7">
        <v>38681</v>
      </c>
      <c r="D7" s="4">
        <v>5000</v>
      </c>
      <c r="E7" s="4">
        <v>7</v>
      </c>
      <c r="F7" s="4">
        <f t="shared" si="1"/>
        <v>35000</v>
      </c>
      <c r="G7" s="4">
        <f t="shared" si="0"/>
        <v>1</v>
      </c>
      <c r="H7" s="4">
        <f t="shared" si="2"/>
        <v>5000</v>
      </c>
      <c r="I7" s="4" t="s">
        <v>141</v>
      </c>
      <c r="J7" s="4" t="s">
        <v>141</v>
      </c>
      <c r="K7" s="4" t="s">
        <v>141</v>
      </c>
      <c r="L7" s="4" t="s">
        <v>141</v>
      </c>
      <c r="M7" s="4" t="s">
        <v>141</v>
      </c>
      <c r="N7" s="4" t="s">
        <v>141</v>
      </c>
      <c r="O7" s="4" t="s">
        <v>141</v>
      </c>
      <c r="P7" s="4" t="s">
        <v>142</v>
      </c>
    </row>
    <row r="8" spans="1:16" x14ac:dyDescent="0.3">
      <c r="A8" t="s">
        <v>170</v>
      </c>
      <c r="B8" s="5" t="s">
        <v>88</v>
      </c>
      <c r="C8" s="7">
        <v>38815</v>
      </c>
      <c r="D8" s="4">
        <v>5000</v>
      </c>
      <c r="E8" s="4">
        <v>8</v>
      </c>
      <c r="F8" s="4">
        <f t="shared" si="1"/>
        <v>40000</v>
      </c>
      <c r="G8" s="4">
        <f t="shared" si="0"/>
        <v>0</v>
      </c>
      <c r="H8" s="4">
        <f t="shared" si="2"/>
        <v>0</v>
      </c>
      <c r="I8" s="4" t="s">
        <v>141</v>
      </c>
      <c r="J8" s="4" t="s">
        <v>141</v>
      </c>
      <c r="K8" s="4" t="s">
        <v>141</v>
      </c>
      <c r="L8" s="4" t="s">
        <v>141</v>
      </c>
      <c r="M8" s="4" t="s">
        <v>141</v>
      </c>
      <c r="N8" s="4" t="s">
        <v>141</v>
      </c>
      <c r="O8" s="4" t="s">
        <v>141</v>
      </c>
      <c r="P8" s="4" t="s">
        <v>141</v>
      </c>
    </row>
    <row r="9" spans="1:16" x14ac:dyDescent="0.3">
      <c r="A9" t="s">
        <v>171</v>
      </c>
      <c r="B9" s="5" t="s">
        <v>89</v>
      </c>
      <c r="C9" s="7">
        <v>39278</v>
      </c>
      <c r="D9" s="4">
        <v>5000</v>
      </c>
      <c r="E9" s="4">
        <v>6</v>
      </c>
      <c r="F9" s="4">
        <f t="shared" si="1"/>
        <v>30000</v>
      </c>
      <c r="G9" s="4">
        <f t="shared" si="0"/>
        <v>2</v>
      </c>
      <c r="H9" s="4">
        <f t="shared" si="2"/>
        <v>10000</v>
      </c>
      <c r="I9" s="4" t="s">
        <v>141</v>
      </c>
      <c r="J9" s="4" t="s">
        <v>141</v>
      </c>
      <c r="K9" s="4" t="s">
        <v>141</v>
      </c>
      <c r="L9" s="4" t="s">
        <v>141</v>
      </c>
      <c r="M9" s="4" t="s">
        <v>141</v>
      </c>
      <c r="N9" s="4" t="s">
        <v>141</v>
      </c>
      <c r="O9" s="4" t="s">
        <v>142</v>
      </c>
      <c r="P9" s="4" t="s">
        <v>142</v>
      </c>
    </row>
    <row r="10" spans="1:16" x14ac:dyDescent="0.3">
      <c r="A10" t="s">
        <v>172</v>
      </c>
      <c r="B10" s="5" t="s">
        <v>90</v>
      </c>
      <c r="C10" s="7">
        <v>38760</v>
      </c>
      <c r="D10" s="4">
        <v>5000</v>
      </c>
      <c r="E10" s="4">
        <v>7</v>
      </c>
      <c r="F10" s="4">
        <f t="shared" si="1"/>
        <v>35000</v>
      </c>
      <c r="G10" s="4">
        <f t="shared" si="0"/>
        <v>1</v>
      </c>
      <c r="H10" s="4">
        <f t="shared" si="2"/>
        <v>5000</v>
      </c>
      <c r="I10" s="4" t="s">
        <v>141</v>
      </c>
      <c r="J10" s="4" t="s">
        <v>141</v>
      </c>
      <c r="K10" s="4" t="s">
        <v>141</v>
      </c>
      <c r="L10" s="4" t="s">
        <v>141</v>
      </c>
      <c r="M10" s="4" t="s">
        <v>141</v>
      </c>
      <c r="N10" s="4" t="s">
        <v>141</v>
      </c>
      <c r="O10" s="4" t="s">
        <v>141</v>
      </c>
      <c r="P10" s="4" t="s">
        <v>142</v>
      </c>
    </row>
    <row r="11" spans="1:16" x14ac:dyDescent="0.3">
      <c r="A11" t="s">
        <v>173</v>
      </c>
      <c r="B11" s="5" t="s">
        <v>91</v>
      </c>
      <c r="C11" s="7">
        <v>38501</v>
      </c>
      <c r="D11" s="4">
        <v>5000</v>
      </c>
      <c r="E11" s="4">
        <v>8</v>
      </c>
      <c r="F11" s="4">
        <f t="shared" si="1"/>
        <v>40000</v>
      </c>
      <c r="G11" s="4">
        <f t="shared" si="0"/>
        <v>0</v>
      </c>
      <c r="H11" s="4">
        <f t="shared" si="2"/>
        <v>0</v>
      </c>
      <c r="I11" s="4" t="s">
        <v>141</v>
      </c>
      <c r="J11" s="4" t="s">
        <v>141</v>
      </c>
      <c r="K11" s="4" t="s">
        <v>141</v>
      </c>
      <c r="L11" s="4" t="s">
        <v>141</v>
      </c>
      <c r="M11" s="4" t="s">
        <v>141</v>
      </c>
      <c r="N11" s="4" t="s">
        <v>141</v>
      </c>
      <c r="O11" s="4" t="s">
        <v>141</v>
      </c>
      <c r="P11" s="4" t="s">
        <v>141</v>
      </c>
    </row>
    <row r="12" spans="1:16" x14ac:dyDescent="0.3">
      <c r="A12" t="s">
        <v>174</v>
      </c>
      <c r="B12" s="5" t="s">
        <v>92</v>
      </c>
      <c r="C12" s="7">
        <v>39000</v>
      </c>
      <c r="D12" s="4">
        <v>5000</v>
      </c>
      <c r="E12" s="4">
        <v>6</v>
      </c>
      <c r="F12" s="4">
        <f t="shared" si="1"/>
        <v>30000</v>
      </c>
      <c r="G12" s="4">
        <f t="shared" si="0"/>
        <v>2</v>
      </c>
      <c r="H12" s="4">
        <f t="shared" si="2"/>
        <v>10000</v>
      </c>
      <c r="I12" s="4" t="s">
        <v>141</v>
      </c>
      <c r="J12" s="4" t="s">
        <v>141</v>
      </c>
      <c r="K12" s="4" t="s">
        <v>141</v>
      </c>
      <c r="L12" s="4" t="s">
        <v>141</v>
      </c>
      <c r="M12" s="4" t="s">
        <v>141</v>
      </c>
      <c r="N12" s="4" t="s">
        <v>141</v>
      </c>
      <c r="O12" s="4" t="s">
        <v>142</v>
      </c>
      <c r="P12" s="4" t="s">
        <v>142</v>
      </c>
    </row>
    <row r="13" spans="1:16" x14ac:dyDescent="0.3">
      <c r="A13" t="s">
        <v>175</v>
      </c>
      <c r="B13" s="5" t="s">
        <v>93</v>
      </c>
      <c r="C13" s="7">
        <v>39440</v>
      </c>
      <c r="D13" s="4">
        <v>5000</v>
      </c>
      <c r="E13" s="4">
        <v>7</v>
      </c>
      <c r="F13" s="4">
        <f t="shared" si="1"/>
        <v>35000</v>
      </c>
      <c r="G13" s="4">
        <f t="shared" si="0"/>
        <v>1</v>
      </c>
      <c r="H13" s="4">
        <f t="shared" si="2"/>
        <v>5000</v>
      </c>
      <c r="I13" s="4" t="s">
        <v>141</v>
      </c>
      <c r="J13" s="4" t="s">
        <v>141</v>
      </c>
      <c r="K13" s="4" t="s">
        <v>141</v>
      </c>
      <c r="L13" s="4" t="s">
        <v>141</v>
      </c>
      <c r="M13" s="4" t="s">
        <v>141</v>
      </c>
      <c r="N13" s="4" t="s">
        <v>141</v>
      </c>
      <c r="O13" s="4" t="s">
        <v>141</v>
      </c>
      <c r="P13" s="4" t="s">
        <v>142</v>
      </c>
    </row>
    <row r="14" spans="1:16" x14ac:dyDescent="0.3">
      <c r="A14" t="s">
        <v>176</v>
      </c>
      <c r="B14" s="5" t="s">
        <v>94</v>
      </c>
      <c r="C14" s="7">
        <v>38506</v>
      </c>
      <c r="D14" s="4">
        <v>5000</v>
      </c>
      <c r="E14" s="4">
        <v>8</v>
      </c>
      <c r="F14" s="4">
        <f t="shared" si="1"/>
        <v>40000</v>
      </c>
      <c r="G14" s="4">
        <f t="shared" si="0"/>
        <v>0</v>
      </c>
      <c r="H14" s="4">
        <f t="shared" si="2"/>
        <v>0</v>
      </c>
      <c r="I14" s="4" t="s">
        <v>141</v>
      </c>
      <c r="J14" s="4" t="s">
        <v>141</v>
      </c>
      <c r="K14" s="4" t="s">
        <v>141</v>
      </c>
      <c r="L14" s="4" t="s">
        <v>141</v>
      </c>
      <c r="M14" s="4" t="s">
        <v>141</v>
      </c>
      <c r="N14" s="4" t="s">
        <v>141</v>
      </c>
      <c r="O14" s="4" t="s">
        <v>141</v>
      </c>
      <c r="P14" s="4" t="s">
        <v>141</v>
      </c>
    </row>
    <row r="15" spans="1:16" x14ac:dyDescent="0.3">
      <c r="A15" t="s">
        <v>177</v>
      </c>
      <c r="B15" s="5" t="s">
        <v>95</v>
      </c>
      <c r="C15" s="7">
        <v>38977</v>
      </c>
      <c r="D15" s="4">
        <v>5000</v>
      </c>
      <c r="E15" s="4">
        <v>8</v>
      </c>
      <c r="F15" s="4">
        <f t="shared" si="1"/>
        <v>40000</v>
      </c>
      <c r="G15" s="4">
        <f t="shared" si="0"/>
        <v>0</v>
      </c>
      <c r="H15" s="4">
        <f t="shared" si="2"/>
        <v>0</v>
      </c>
      <c r="I15" s="4" t="s">
        <v>141</v>
      </c>
      <c r="J15" s="4" t="s">
        <v>141</v>
      </c>
      <c r="K15" s="4" t="s">
        <v>141</v>
      </c>
      <c r="L15" s="4" t="s">
        <v>141</v>
      </c>
      <c r="M15" s="4" t="s">
        <v>141</v>
      </c>
      <c r="N15" s="4" t="s">
        <v>141</v>
      </c>
      <c r="O15" s="4" t="s">
        <v>141</v>
      </c>
      <c r="P15" s="4" t="s">
        <v>141</v>
      </c>
    </row>
    <row r="16" spans="1:16" x14ac:dyDescent="0.3">
      <c r="A16" t="s">
        <v>178</v>
      </c>
      <c r="B16" s="5" t="s">
        <v>96</v>
      </c>
      <c r="C16" s="7">
        <v>39142</v>
      </c>
      <c r="D16" s="4">
        <v>5000</v>
      </c>
      <c r="E16" s="4">
        <v>7</v>
      </c>
      <c r="F16" s="4">
        <f t="shared" si="1"/>
        <v>35000</v>
      </c>
      <c r="G16" s="4">
        <f t="shared" si="0"/>
        <v>1</v>
      </c>
      <c r="H16" s="4">
        <f t="shared" si="2"/>
        <v>5000</v>
      </c>
      <c r="I16" s="4" t="s">
        <v>141</v>
      </c>
      <c r="J16" s="4" t="s">
        <v>141</v>
      </c>
      <c r="K16" s="4" t="s">
        <v>141</v>
      </c>
      <c r="L16" s="4" t="s">
        <v>141</v>
      </c>
      <c r="M16" s="4" t="s">
        <v>141</v>
      </c>
      <c r="N16" s="4" t="s">
        <v>141</v>
      </c>
      <c r="O16" s="4" t="s">
        <v>141</v>
      </c>
      <c r="P16" s="4" t="s">
        <v>142</v>
      </c>
    </row>
    <row r="17" spans="1:16" x14ac:dyDescent="0.3">
      <c r="A17" t="s">
        <v>179</v>
      </c>
      <c r="B17" s="5" t="s">
        <v>97</v>
      </c>
      <c r="C17" s="7">
        <v>38678</v>
      </c>
      <c r="D17" s="4">
        <v>5000</v>
      </c>
      <c r="E17" s="4">
        <v>7</v>
      </c>
      <c r="F17" s="4">
        <f t="shared" si="1"/>
        <v>35000</v>
      </c>
      <c r="G17" s="4">
        <f t="shared" si="0"/>
        <v>1</v>
      </c>
      <c r="H17" s="4">
        <f t="shared" si="2"/>
        <v>5000</v>
      </c>
      <c r="I17" s="4" t="s">
        <v>141</v>
      </c>
      <c r="J17" s="4" t="s">
        <v>141</v>
      </c>
      <c r="K17" s="4" t="s">
        <v>141</v>
      </c>
      <c r="L17" s="4" t="s">
        <v>141</v>
      </c>
      <c r="M17" s="4" t="s">
        <v>141</v>
      </c>
      <c r="N17" s="4" t="s">
        <v>141</v>
      </c>
      <c r="O17" s="4" t="s">
        <v>141</v>
      </c>
      <c r="P17" s="4" t="s">
        <v>142</v>
      </c>
    </row>
    <row r="18" spans="1:16" x14ac:dyDescent="0.3">
      <c r="A18" t="s">
        <v>180</v>
      </c>
      <c r="B18" s="5" t="s">
        <v>98</v>
      </c>
      <c r="C18" s="7">
        <v>38814</v>
      </c>
      <c r="D18" s="4">
        <v>5000</v>
      </c>
      <c r="E18" s="4">
        <v>8</v>
      </c>
      <c r="F18" s="4">
        <f t="shared" si="1"/>
        <v>40000</v>
      </c>
      <c r="G18" s="4">
        <f t="shared" si="0"/>
        <v>0</v>
      </c>
      <c r="H18" s="4">
        <f t="shared" si="2"/>
        <v>0</v>
      </c>
      <c r="I18" s="4" t="s">
        <v>141</v>
      </c>
      <c r="J18" s="4" t="s">
        <v>141</v>
      </c>
      <c r="K18" s="4" t="s">
        <v>141</v>
      </c>
      <c r="L18" s="4" t="s">
        <v>141</v>
      </c>
      <c r="M18" s="4" t="s">
        <v>141</v>
      </c>
      <c r="N18" s="4" t="s">
        <v>141</v>
      </c>
      <c r="O18" s="4" t="s">
        <v>141</v>
      </c>
      <c r="P18" s="4" t="s">
        <v>141</v>
      </c>
    </row>
  </sheetData>
  <mergeCells count="1">
    <mergeCell ref="O1:P1"/>
  </mergeCells>
  <phoneticPr fontId="4" type="noConversion"/>
  <dataValidations count="1">
    <dataValidation type="list" allowBlank="1" showInputMessage="1" showErrorMessage="1" sqref="I3:P18" xr:uid="{8319FF65-61EA-4342-BD09-50B121BD7B51}">
      <formula1>"Paid, Due"</formula1>
    </dataValidation>
  </dataValidations>
  <hyperlinks>
    <hyperlink ref="O1:P1" location="Dashboard!A1" display="Dashboard" xr:uid="{480D54A9-7D5A-4856-8554-BEA79CA1274C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BFE9-75B6-487C-9094-88EC7803341A}">
  <dimension ref="A1:L29"/>
  <sheetViews>
    <sheetView workbookViewId="0"/>
  </sheetViews>
  <sheetFormatPr defaultRowHeight="14.4" x14ac:dyDescent="0.3"/>
  <cols>
    <col min="1" max="1" width="12.77734375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6.44140625" bestFit="1" customWidth="1"/>
  </cols>
  <sheetData>
    <row r="1" spans="1:12" ht="33.6" customHeight="1" x14ac:dyDescent="0.3">
      <c r="A1" s="14" t="s">
        <v>283</v>
      </c>
      <c r="B1" s="10" t="s">
        <v>5</v>
      </c>
      <c r="C1" s="13">
        <f>COUNTA(A3:A29)</f>
        <v>27</v>
      </c>
      <c r="D1" s="13">
        <f>SUM(D3:D29)*4</f>
        <v>756000</v>
      </c>
      <c r="E1" s="10"/>
      <c r="F1" s="13">
        <f>SUM(F3:F29)</f>
        <v>693000</v>
      </c>
      <c r="G1" s="10"/>
      <c r="H1" s="13">
        <f>SUM(H3:H29)</f>
        <v>63000</v>
      </c>
      <c r="K1" s="16" t="s">
        <v>269</v>
      </c>
      <c r="L1" s="16"/>
    </row>
    <row r="2" spans="1:12" ht="28.8" x14ac:dyDescent="0.3">
      <c r="A2" s="3" t="s">
        <v>4</v>
      </c>
      <c r="B2" s="3" t="s">
        <v>2</v>
      </c>
      <c r="C2" s="4" t="s">
        <v>6</v>
      </c>
      <c r="D2" s="6" t="s">
        <v>7</v>
      </c>
      <c r="E2" s="6" t="s">
        <v>8</v>
      </c>
      <c r="F2" s="6" t="s">
        <v>3</v>
      </c>
      <c r="G2" s="6" t="s">
        <v>140</v>
      </c>
      <c r="H2" s="6" t="s">
        <v>10</v>
      </c>
      <c r="I2" s="4" t="s">
        <v>11</v>
      </c>
      <c r="J2" s="4" t="s">
        <v>12</v>
      </c>
      <c r="K2" s="4" t="s">
        <v>13</v>
      </c>
      <c r="L2" s="4" t="s">
        <v>9</v>
      </c>
    </row>
    <row r="3" spans="1:12" x14ac:dyDescent="0.3">
      <c r="A3" t="s">
        <v>182</v>
      </c>
      <c r="B3" s="5" t="s">
        <v>99</v>
      </c>
      <c r="C3" s="7">
        <v>39313</v>
      </c>
      <c r="D3" s="12">
        <v>7000</v>
      </c>
      <c r="E3" s="12">
        <v>4</v>
      </c>
      <c r="F3" s="12">
        <f>D3*E3</f>
        <v>28000</v>
      </c>
      <c r="G3" s="12">
        <f t="shared" ref="G3:G29" si="0">4-E3</f>
        <v>0</v>
      </c>
      <c r="H3" s="12">
        <f>D3*G3</f>
        <v>0</v>
      </c>
      <c r="I3" s="4" t="s">
        <v>141</v>
      </c>
      <c r="J3" s="4" t="s">
        <v>141</v>
      </c>
      <c r="K3" s="4" t="s">
        <v>141</v>
      </c>
      <c r="L3" s="4" t="s">
        <v>141</v>
      </c>
    </row>
    <row r="4" spans="1:12" x14ac:dyDescent="0.3">
      <c r="A4" t="s">
        <v>183</v>
      </c>
      <c r="B4" s="5" t="s">
        <v>100</v>
      </c>
      <c r="C4" s="7">
        <v>38759</v>
      </c>
      <c r="D4" s="12">
        <v>7000</v>
      </c>
      <c r="E4" s="12">
        <v>4</v>
      </c>
      <c r="F4" s="12">
        <f t="shared" ref="F4:F25" si="1">D4*E4</f>
        <v>28000</v>
      </c>
      <c r="G4" s="12">
        <f t="shared" si="0"/>
        <v>0</v>
      </c>
      <c r="H4" s="12">
        <f t="shared" ref="H4:H25" si="2">D4*G4</f>
        <v>0</v>
      </c>
      <c r="I4" s="4" t="s">
        <v>141</v>
      </c>
      <c r="J4" s="4" t="s">
        <v>141</v>
      </c>
      <c r="K4" s="4" t="s">
        <v>141</v>
      </c>
      <c r="L4" s="4" t="s">
        <v>141</v>
      </c>
    </row>
    <row r="5" spans="1:12" x14ac:dyDescent="0.3">
      <c r="A5" t="s">
        <v>184</v>
      </c>
      <c r="B5" s="5" t="s">
        <v>101</v>
      </c>
      <c r="C5" s="7">
        <v>38498</v>
      </c>
      <c r="D5" s="12">
        <v>7000</v>
      </c>
      <c r="E5" s="12">
        <v>4</v>
      </c>
      <c r="F5" s="12">
        <f t="shared" si="1"/>
        <v>28000</v>
      </c>
      <c r="G5" s="12">
        <f t="shared" si="0"/>
        <v>0</v>
      </c>
      <c r="H5" s="12">
        <f t="shared" si="2"/>
        <v>0</v>
      </c>
      <c r="I5" s="4" t="s">
        <v>141</v>
      </c>
      <c r="J5" s="4" t="s">
        <v>141</v>
      </c>
      <c r="K5" s="4" t="s">
        <v>141</v>
      </c>
      <c r="L5" s="4" t="s">
        <v>141</v>
      </c>
    </row>
    <row r="6" spans="1:12" x14ac:dyDescent="0.3">
      <c r="A6" t="s">
        <v>185</v>
      </c>
      <c r="B6" s="5" t="s">
        <v>102</v>
      </c>
      <c r="C6" s="7">
        <v>38999</v>
      </c>
      <c r="D6" s="12">
        <v>7000</v>
      </c>
      <c r="E6" s="12">
        <v>4</v>
      </c>
      <c r="F6" s="12">
        <f t="shared" si="1"/>
        <v>28000</v>
      </c>
      <c r="G6" s="12">
        <f t="shared" si="0"/>
        <v>0</v>
      </c>
      <c r="H6" s="12">
        <f t="shared" si="2"/>
        <v>0</v>
      </c>
      <c r="I6" s="4" t="s">
        <v>141</v>
      </c>
      <c r="J6" s="4" t="s">
        <v>141</v>
      </c>
      <c r="K6" s="4" t="s">
        <v>141</v>
      </c>
      <c r="L6" s="4" t="s">
        <v>141</v>
      </c>
    </row>
    <row r="7" spans="1:12" x14ac:dyDescent="0.3">
      <c r="A7" t="s">
        <v>186</v>
      </c>
      <c r="B7" s="5" t="s">
        <v>103</v>
      </c>
      <c r="C7" s="7">
        <v>39430</v>
      </c>
      <c r="D7" s="12">
        <v>7000</v>
      </c>
      <c r="E7" s="12">
        <v>4</v>
      </c>
      <c r="F7" s="12">
        <f t="shared" si="1"/>
        <v>28000</v>
      </c>
      <c r="G7" s="12">
        <f t="shared" si="0"/>
        <v>0</v>
      </c>
      <c r="H7" s="12">
        <f t="shared" si="2"/>
        <v>0</v>
      </c>
      <c r="I7" s="4" t="s">
        <v>141</v>
      </c>
      <c r="J7" s="4" t="s">
        <v>141</v>
      </c>
      <c r="K7" s="4" t="s">
        <v>141</v>
      </c>
      <c r="L7" s="4" t="s">
        <v>141</v>
      </c>
    </row>
    <row r="8" spans="1:12" x14ac:dyDescent="0.3">
      <c r="A8" t="s">
        <v>187</v>
      </c>
      <c r="B8" s="5" t="s">
        <v>104</v>
      </c>
      <c r="C8" s="7">
        <v>38508</v>
      </c>
      <c r="D8" s="12">
        <v>7000</v>
      </c>
      <c r="E8" s="12">
        <v>4</v>
      </c>
      <c r="F8" s="12">
        <f t="shared" si="1"/>
        <v>28000</v>
      </c>
      <c r="G8" s="12">
        <f t="shared" si="0"/>
        <v>0</v>
      </c>
      <c r="H8" s="12">
        <f t="shared" si="2"/>
        <v>0</v>
      </c>
      <c r="I8" s="4" t="s">
        <v>141</v>
      </c>
      <c r="J8" s="4" t="s">
        <v>141</v>
      </c>
      <c r="K8" s="4" t="s">
        <v>141</v>
      </c>
      <c r="L8" s="4" t="s">
        <v>141</v>
      </c>
    </row>
    <row r="9" spans="1:12" x14ac:dyDescent="0.3">
      <c r="A9" t="s">
        <v>188</v>
      </c>
      <c r="B9" s="5" t="s">
        <v>105</v>
      </c>
      <c r="C9" s="7">
        <v>38980</v>
      </c>
      <c r="D9" s="12">
        <v>7000</v>
      </c>
      <c r="E9" s="12">
        <v>4</v>
      </c>
      <c r="F9" s="12">
        <f t="shared" si="1"/>
        <v>28000</v>
      </c>
      <c r="G9" s="12">
        <f t="shared" si="0"/>
        <v>0</v>
      </c>
      <c r="H9" s="12">
        <f t="shared" si="2"/>
        <v>0</v>
      </c>
      <c r="I9" s="4" t="s">
        <v>141</v>
      </c>
      <c r="J9" s="4" t="s">
        <v>141</v>
      </c>
      <c r="K9" s="4" t="s">
        <v>141</v>
      </c>
      <c r="L9" s="4" t="s">
        <v>141</v>
      </c>
    </row>
    <row r="10" spans="1:12" x14ac:dyDescent="0.3">
      <c r="A10" t="s">
        <v>189</v>
      </c>
      <c r="B10" s="5" t="s">
        <v>106</v>
      </c>
      <c r="C10" s="7">
        <v>39143</v>
      </c>
      <c r="D10" s="12">
        <v>7000</v>
      </c>
      <c r="E10" s="12">
        <v>4</v>
      </c>
      <c r="F10" s="12">
        <f t="shared" si="1"/>
        <v>28000</v>
      </c>
      <c r="G10" s="12">
        <f t="shared" si="0"/>
        <v>0</v>
      </c>
      <c r="H10" s="12">
        <f t="shared" si="2"/>
        <v>0</v>
      </c>
      <c r="I10" s="4" t="s">
        <v>141</v>
      </c>
      <c r="J10" s="4" t="s">
        <v>141</v>
      </c>
      <c r="K10" s="4" t="s">
        <v>141</v>
      </c>
      <c r="L10" s="4" t="s">
        <v>141</v>
      </c>
    </row>
    <row r="11" spans="1:12" x14ac:dyDescent="0.3">
      <c r="A11" t="s">
        <v>190</v>
      </c>
      <c r="B11" s="5" t="s">
        <v>107</v>
      </c>
      <c r="C11" s="7">
        <v>38684</v>
      </c>
      <c r="D11" s="12">
        <v>7000</v>
      </c>
      <c r="E11" s="12">
        <v>4</v>
      </c>
      <c r="F11" s="12">
        <f t="shared" si="1"/>
        <v>28000</v>
      </c>
      <c r="G11" s="12">
        <f t="shared" si="0"/>
        <v>0</v>
      </c>
      <c r="H11" s="12">
        <f t="shared" si="2"/>
        <v>0</v>
      </c>
      <c r="I11" s="4" t="s">
        <v>141</v>
      </c>
      <c r="J11" s="4" t="s">
        <v>141</v>
      </c>
      <c r="K11" s="4" t="s">
        <v>141</v>
      </c>
      <c r="L11" s="4" t="s">
        <v>141</v>
      </c>
    </row>
    <row r="12" spans="1:12" x14ac:dyDescent="0.3">
      <c r="A12" t="s">
        <v>191</v>
      </c>
      <c r="B12" s="5" t="s">
        <v>108</v>
      </c>
      <c r="C12" s="7">
        <v>38815</v>
      </c>
      <c r="D12" s="12">
        <v>7000</v>
      </c>
      <c r="E12" s="12">
        <v>4</v>
      </c>
      <c r="F12" s="12">
        <f t="shared" si="1"/>
        <v>28000</v>
      </c>
      <c r="G12" s="12">
        <f t="shared" si="0"/>
        <v>0</v>
      </c>
      <c r="H12" s="12">
        <f t="shared" si="2"/>
        <v>0</v>
      </c>
      <c r="I12" s="4" t="s">
        <v>141</v>
      </c>
      <c r="J12" s="4" t="s">
        <v>141</v>
      </c>
      <c r="K12" s="4" t="s">
        <v>141</v>
      </c>
      <c r="L12" s="4" t="s">
        <v>141</v>
      </c>
    </row>
    <row r="13" spans="1:12" x14ac:dyDescent="0.3">
      <c r="A13" t="s">
        <v>192</v>
      </c>
      <c r="B13" s="5" t="s">
        <v>109</v>
      </c>
      <c r="C13" s="7">
        <v>39280</v>
      </c>
      <c r="D13" s="12">
        <v>7000</v>
      </c>
      <c r="E13" s="12">
        <v>4</v>
      </c>
      <c r="F13" s="12">
        <f t="shared" si="1"/>
        <v>28000</v>
      </c>
      <c r="G13" s="12">
        <f t="shared" si="0"/>
        <v>0</v>
      </c>
      <c r="H13" s="12">
        <f t="shared" si="2"/>
        <v>0</v>
      </c>
      <c r="I13" s="4" t="s">
        <v>141</v>
      </c>
      <c r="J13" s="4" t="s">
        <v>141</v>
      </c>
      <c r="K13" s="4" t="s">
        <v>141</v>
      </c>
      <c r="L13" s="4" t="s">
        <v>141</v>
      </c>
    </row>
    <row r="14" spans="1:12" x14ac:dyDescent="0.3">
      <c r="A14" t="s">
        <v>193</v>
      </c>
      <c r="B14" s="5" t="s">
        <v>110</v>
      </c>
      <c r="C14" s="7">
        <v>38758</v>
      </c>
      <c r="D14" s="12">
        <v>7000</v>
      </c>
      <c r="E14" s="12">
        <v>4</v>
      </c>
      <c r="F14" s="12">
        <f t="shared" si="1"/>
        <v>28000</v>
      </c>
      <c r="G14" s="12">
        <f t="shared" si="0"/>
        <v>0</v>
      </c>
      <c r="H14" s="12">
        <f t="shared" si="2"/>
        <v>0</v>
      </c>
      <c r="I14" s="4" t="s">
        <v>141</v>
      </c>
      <c r="J14" s="4" t="s">
        <v>141</v>
      </c>
      <c r="K14" s="4" t="s">
        <v>141</v>
      </c>
      <c r="L14" s="4" t="s">
        <v>141</v>
      </c>
    </row>
    <row r="15" spans="1:12" x14ac:dyDescent="0.3">
      <c r="A15" t="s">
        <v>194</v>
      </c>
      <c r="B15" s="5" t="s">
        <v>111</v>
      </c>
      <c r="C15" s="7">
        <v>38495</v>
      </c>
      <c r="D15" s="12">
        <v>7000</v>
      </c>
      <c r="E15" s="12">
        <v>4</v>
      </c>
      <c r="F15" s="12">
        <f t="shared" si="1"/>
        <v>28000</v>
      </c>
      <c r="G15" s="12">
        <f t="shared" si="0"/>
        <v>0</v>
      </c>
      <c r="H15" s="12">
        <f t="shared" si="2"/>
        <v>0</v>
      </c>
      <c r="I15" s="4" t="s">
        <v>141</v>
      </c>
      <c r="J15" s="4" t="s">
        <v>141</v>
      </c>
      <c r="K15" s="4" t="s">
        <v>141</v>
      </c>
      <c r="L15" s="4" t="s">
        <v>141</v>
      </c>
    </row>
    <row r="16" spans="1:12" x14ac:dyDescent="0.3">
      <c r="A16" t="s">
        <v>195</v>
      </c>
      <c r="B16" s="5" t="s">
        <v>112</v>
      </c>
      <c r="C16" s="7">
        <v>39002</v>
      </c>
      <c r="D16" s="12">
        <v>7000</v>
      </c>
      <c r="E16" s="12">
        <v>3</v>
      </c>
      <c r="F16" s="12">
        <f t="shared" si="1"/>
        <v>21000</v>
      </c>
      <c r="G16" s="12">
        <f t="shared" si="0"/>
        <v>1</v>
      </c>
      <c r="H16" s="12">
        <f t="shared" si="2"/>
        <v>7000</v>
      </c>
      <c r="I16" s="4" t="s">
        <v>141</v>
      </c>
      <c r="J16" s="4" t="s">
        <v>141</v>
      </c>
      <c r="K16" s="4" t="s">
        <v>141</v>
      </c>
      <c r="L16" s="4" t="s">
        <v>142</v>
      </c>
    </row>
    <row r="17" spans="1:12" x14ac:dyDescent="0.3">
      <c r="A17" t="s">
        <v>196</v>
      </c>
      <c r="B17" s="5" t="s">
        <v>113</v>
      </c>
      <c r="C17" s="7">
        <v>39445</v>
      </c>
      <c r="D17" s="12">
        <v>7000</v>
      </c>
      <c r="E17" s="12">
        <v>4</v>
      </c>
      <c r="F17" s="12">
        <f t="shared" si="1"/>
        <v>28000</v>
      </c>
      <c r="G17" s="12">
        <f t="shared" si="0"/>
        <v>0</v>
      </c>
      <c r="H17" s="12">
        <f t="shared" si="2"/>
        <v>0</v>
      </c>
      <c r="I17" s="4" t="s">
        <v>141</v>
      </c>
      <c r="J17" s="4" t="s">
        <v>141</v>
      </c>
      <c r="K17" s="4" t="s">
        <v>141</v>
      </c>
      <c r="L17" s="4" t="s">
        <v>141</v>
      </c>
    </row>
    <row r="18" spans="1:12" x14ac:dyDescent="0.3">
      <c r="A18" t="s">
        <v>197</v>
      </c>
      <c r="B18" s="5" t="s">
        <v>114</v>
      </c>
      <c r="C18" s="7">
        <v>38509</v>
      </c>
      <c r="D18" s="12">
        <v>7000</v>
      </c>
      <c r="E18" s="12">
        <v>3</v>
      </c>
      <c r="F18" s="12">
        <f t="shared" si="1"/>
        <v>21000</v>
      </c>
      <c r="G18" s="12">
        <f t="shared" si="0"/>
        <v>1</v>
      </c>
      <c r="H18" s="12">
        <f t="shared" si="2"/>
        <v>7000</v>
      </c>
      <c r="I18" s="4" t="s">
        <v>141</v>
      </c>
      <c r="J18" s="4" t="s">
        <v>141</v>
      </c>
      <c r="K18" s="4" t="s">
        <v>141</v>
      </c>
      <c r="L18" s="4" t="s">
        <v>142</v>
      </c>
    </row>
    <row r="19" spans="1:12" x14ac:dyDescent="0.3">
      <c r="A19" t="s">
        <v>198</v>
      </c>
      <c r="B19" s="5" t="s">
        <v>115</v>
      </c>
      <c r="C19" s="7">
        <v>38978</v>
      </c>
      <c r="D19" s="12">
        <v>7000</v>
      </c>
      <c r="E19" s="12">
        <v>4</v>
      </c>
      <c r="F19" s="12">
        <f t="shared" si="1"/>
        <v>28000</v>
      </c>
      <c r="G19" s="12">
        <f t="shared" si="0"/>
        <v>0</v>
      </c>
      <c r="H19" s="12">
        <f t="shared" si="2"/>
        <v>0</v>
      </c>
      <c r="I19" s="4" t="s">
        <v>141</v>
      </c>
      <c r="J19" s="4" t="s">
        <v>141</v>
      </c>
      <c r="K19" s="4" t="s">
        <v>141</v>
      </c>
      <c r="L19" s="4" t="s">
        <v>141</v>
      </c>
    </row>
    <row r="20" spans="1:12" x14ac:dyDescent="0.3">
      <c r="A20" t="s">
        <v>199</v>
      </c>
      <c r="B20" s="5" t="s">
        <v>116</v>
      </c>
      <c r="C20" s="7">
        <v>39086</v>
      </c>
      <c r="D20" s="12">
        <v>7000</v>
      </c>
      <c r="E20" s="12">
        <v>3</v>
      </c>
      <c r="F20" s="12">
        <f t="shared" si="1"/>
        <v>21000</v>
      </c>
      <c r="G20" s="12">
        <f t="shared" si="0"/>
        <v>1</v>
      </c>
      <c r="H20" s="12">
        <f t="shared" si="2"/>
        <v>7000</v>
      </c>
      <c r="I20" s="4" t="s">
        <v>141</v>
      </c>
      <c r="J20" s="4" t="s">
        <v>141</v>
      </c>
      <c r="K20" s="4" t="s">
        <v>141</v>
      </c>
      <c r="L20" s="4" t="s">
        <v>142</v>
      </c>
    </row>
    <row r="21" spans="1:12" x14ac:dyDescent="0.3">
      <c r="A21" t="s">
        <v>200</v>
      </c>
      <c r="B21" s="5" t="s">
        <v>117</v>
      </c>
      <c r="C21" s="7">
        <v>38681</v>
      </c>
      <c r="D21" s="12">
        <v>7000</v>
      </c>
      <c r="E21" s="12">
        <v>3</v>
      </c>
      <c r="F21" s="12">
        <f t="shared" si="1"/>
        <v>21000</v>
      </c>
      <c r="G21" s="12">
        <f t="shared" si="0"/>
        <v>1</v>
      </c>
      <c r="H21" s="12">
        <f t="shared" si="2"/>
        <v>7000</v>
      </c>
      <c r="I21" s="4" t="s">
        <v>141</v>
      </c>
      <c r="J21" s="4" t="s">
        <v>141</v>
      </c>
      <c r="K21" s="4" t="s">
        <v>141</v>
      </c>
      <c r="L21" s="4" t="s">
        <v>142</v>
      </c>
    </row>
    <row r="22" spans="1:12" x14ac:dyDescent="0.3">
      <c r="A22" t="s">
        <v>201</v>
      </c>
      <c r="B22" s="5" t="s">
        <v>118</v>
      </c>
      <c r="C22" s="7">
        <v>38814</v>
      </c>
      <c r="D22" s="12">
        <v>7000</v>
      </c>
      <c r="E22" s="12">
        <v>4</v>
      </c>
      <c r="F22" s="12">
        <f t="shared" si="1"/>
        <v>28000</v>
      </c>
      <c r="G22" s="12">
        <f t="shared" si="0"/>
        <v>0</v>
      </c>
      <c r="H22" s="12">
        <f t="shared" si="2"/>
        <v>0</v>
      </c>
      <c r="I22" s="4" t="s">
        <v>141</v>
      </c>
      <c r="J22" s="4" t="s">
        <v>141</v>
      </c>
      <c r="K22" s="4" t="s">
        <v>141</v>
      </c>
      <c r="L22" s="4" t="s">
        <v>141</v>
      </c>
    </row>
    <row r="23" spans="1:12" x14ac:dyDescent="0.3">
      <c r="A23" t="s">
        <v>202</v>
      </c>
      <c r="B23" s="5" t="s">
        <v>119</v>
      </c>
      <c r="C23" s="7">
        <v>39310</v>
      </c>
      <c r="D23" s="12">
        <v>7000</v>
      </c>
      <c r="E23" s="12">
        <v>4</v>
      </c>
      <c r="F23" s="12">
        <f t="shared" si="1"/>
        <v>28000</v>
      </c>
      <c r="G23" s="12">
        <f t="shared" si="0"/>
        <v>0</v>
      </c>
      <c r="H23" s="12">
        <f t="shared" si="2"/>
        <v>0</v>
      </c>
      <c r="I23" s="4" t="s">
        <v>141</v>
      </c>
      <c r="J23" s="4" t="s">
        <v>141</v>
      </c>
      <c r="K23" s="4" t="s">
        <v>141</v>
      </c>
      <c r="L23" s="4" t="s">
        <v>141</v>
      </c>
    </row>
    <row r="24" spans="1:12" x14ac:dyDescent="0.3">
      <c r="A24" t="s">
        <v>203</v>
      </c>
      <c r="B24" s="5" t="s">
        <v>120</v>
      </c>
      <c r="C24" s="7">
        <v>38757</v>
      </c>
      <c r="D24" s="12">
        <v>7000</v>
      </c>
      <c r="E24" s="12">
        <v>4</v>
      </c>
      <c r="F24" s="12">
        <f t="shared" si="1"/>
        <v>28000</v>
      </c>
      <c r="G24" s="12">
        <f t="shared" si="0"/>
        <v>0</v>
      </c>
      <c r="H24" s="12">
        <f t="shared" si="2"/>
        <v>0</v>
      </c>
      <c r="I24" s="4" t="s">
        <v>141</v>
      </c>
      <c r="J24" s="4" t="s">
        <v>141</v>
      </c>
      <c r="K24" s="4" t="s">
        <v>141</v>
      </c>
      <c r="L24" s="4" t="s">
        <v>141</v>
      </c>
    </row>
    <row r="25" spans="1:12" x14ac:dyDescent="0.3">
      <c r="A25" t="s">
        <v>204</v>
      </c>
      <c r="B25" s="5" t="s">
        <v>121</v>
      </c>
      <c r="C25" s="7">
        <v>38493</v>
      </c>
      <c r="D25" s="12">
        <v>7000</v>
      </c>
      <c r="E25" s="12">
        <v>3</v>
      </c>
      <c r="F25" s="12">
        <f t="shared" si="1"/>
        <v>21000</v>
      </c>
      <c r="G25" s="12">
        <f t="shared" si="0"/>
        <v>1</v>
      </c>
      <c r="H25" s="12">
        <f t="shared" si="2"/>
        <v>7000</v>
      </c>
      <c r="I25" s="4" t="s">
        <v>141</v>
      </c>
      <c r="J25" s="4" t="s">
        <v>141</v>
      </c>
      <c r="K25" s="4" t="s">
        <v>141</v>
      </c>
      <c r="L25" s="4" t="s">
        <v>142</v>
      </c>
    </row>
    <row r="26" spans="1:12" x14ac:dyDescent="0.3">
      <c r="A26" t="s">
        <v>205</v>
      </c>
      <c r="B26" s="5" t="s">
        <v>122</v>
      </c>
      <c r="C26" s="7">
        <v>39003</v>
      </c>
      <c r="D26" s="12">
        <v>7000</v>
      </c>
      <c r="E26" s="12">
        <v>3</v>
      </c>
      <c r="F26" s="12">
        <f t="shared" ref="F26:F29" si="3">D26*E26</f>
        <v>21000</v>
      </c>
      <c r="G26" s="12">
        <f t="shared" si="0"/>
        <v>1</v>
      </c>
      <c r="H26" s="12">
        <f t="shared" ref="H26:H29" si="4">D26*G26</f>
        <v>7000</v>
      </c>
      <c r="I26" s="4" t="s">
        <v>141</v>
      </c>
      <c r="J26" s="4" t="s">
        <v>141</v>
      </c>
      <c r="K26" s="4" t="s">
        <v>141</v>
      </c>
      <c r="L26" s="4" t="s">
        <v>142</v>
      </c>
    </row>
    <row r="27" spans="1:12" x14ac:dyDescent="0.3">
      <c r="A27" t="s">
        <v>206</v>
      </c>
      <c r="B27" s="5" t="s">
        <v>123</v>
      </c>
      <c r="C27" s="7">
        <v>39443</v>
      </c>
      <c r="D27" s="12">
        <v>7000</v>
      </c>
      <c r="E27" s="12">
        <v>3</v>
      </c>
      <c r="F27" s="12">
        <f t="shared" si="3"/>
        <v>21000</v>
      </c>
      <c r="G27" s="12">
        <f t="shared" si="0"/>
        <v>1</v>
      </c>
      <c r="H27" s="12">
        <f t="shared" si="4"/>
        <v>7000</v>
      </c>
      <c r="I27" s="4" t="s">
        <v>141</v>
      </c>
      <c r="J27" s="4" t="s">
        <v>141</v>
      </c>
      <c r="K27" s="4" t="s">
        <v>141</v>
      </c>
      <c r="L27" s="4" t="s">
        <v>142</v>
      </c>
    </row>
    <row r="28" spans="1:12" x14ac:dyDescent="0.3">
      <c r="A28" t="s">
        <v>207</v>
      </c>
      <c r="B28" s="5" t="s">
        <v>124</v>
      </c>
      <c r="C28" s="7">
        <v>38509</v>
      </c>
      <c r="D28" s="12">
        <v>7000</v>
      </c>
      <c r="E28" s="12">
        <v>3</v>
      </c>
      <c r="F28" s="12">
        <f t="shared" si="3"/>
        <v>21000</v>
      </c>
      <c r="G28" s="12">
        <f t="shared" si="0"/>
        <v>1</v>
      </c>
      <c r="H28" s="12">
        <f t="shared" si="4"/>
        <v>7000</v>
      </c>
      <c r="I28" s="4" t="s">
        <v>141</v>
      </c>
      <c r="J28" s="4" t="s">
        <v>141</v>
      </c>
      <c r="K28" s="4" t="s">
        <v>141</v>
      </c>
      <c r="L28" s="4" t="s">
        <v>142</v>
      </c>
    </row>
    <row r="29" spans="1:12" x14ac:dyDescent="0.3">
      <c r="A29" t="s">
        <v>208</v>
      </c>
      <c r="B29" s="5" t="s">
        <v>125</v>
      </c>
      <c r="C29" s="7">
        <v>38978</v>
      </c>
      <c r="D29" s="12">
        <v>7000</v>
      </c>
      <c r="E29" s="12">
        <v>3</v>
      </c>
      <c r="F29" s="12">
        <f t="shared" si="3"/>
        <v>21000</v>
      </c>
      <c r="G29" s="12">
        <f t="shared" si="0"/>
        <v>1</v>
      </c>
      <c r="H29" s="12">
        <f t="shared" si="4"/>
        <v>7000</v>
      </c>
      <c r="I29" s="4" t="s">
        <v>141</v>
      </c>
      <c r="J29" s="4" t="s">
        <v>141</v>
      </c>
      <c r="K29" s="4" t="s">
        <v>141</v>
      </c>
      <c r="L29" s="4" t="s">
        <v>142</v>
      </c>
    </row>
  </sheetData>
  <mergeCells count="1">
    <mergeCell ref="K1:L1"/>
  </mergeCells>
  <phoneticPr fontId="4" type="noConversion"/>
  <dataValidations count="1">
    <dataValidation type="list" allowBlank="1" showInputMessage="1" showErrorMessage="1" sqref="I3:L29" xr:uid="{050E731E-754D-46E2-B86F-71B6F1D15D75}">
      <formula1>"Paid, Due"</formula1>
    </dataValidation>
  </dataValidations>
  <hyperlinks>
    <hyperlink ref="K1:L1" location="Dashboard!A1" display="Dashboard" xr:uid="{BFDE855C-7086-410D-86E6-2E4192ADE26C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F52A-93C6-4F88-AF96-BE8906E40020}">
  <dimension ref="A1:L12"/>
  <sheetViews>
    <sheetView workbookViewId="0">
      <selection activeCell="E21" sqref="E21"/>
    </sheetView>
  </sheetViews>
  <sheetFormatPr defaultRowHeight="14.4" x14ac:dyDescent="0.3"/>
  <cols>
    <col min="1" max="1" width="14.77734375" bestFit="1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6.44140625" bestFit="1" customWidth="1"/>
    <col min="9" max="9" width="8.5546875" bestFit="1" customWidth="1"/>
    <col min="10" max="10" width="9.109375" bestFit="1" customWidth="1"/>
  </cols>
  <sheetData>
    <row r="1" spans="1:12" ht="27" customHeight="1" x14ac:dyDescent="0.3">
      <c r="A1" s="8" t="s">
        <v>271</v>
      </c>
      <c r="B1" s="10" t="s">
        <v>5</v>
      </c>
      <c r="C1" s="13">
        <f>COUNTA(A3:A12)</f>
        <v>10</v>
      </c>
      <c r="D1" s="13">
        <f>SUM(D3:D12)*4</f>
        <v>180000</v>
      </c>
      <c r="E1" s="10"/>
      <c r="F1" s="13">
        <f>SUM(F3:F12)</f>
        <v>144000</v>
      </c>
      <c r="G1" s="10"/>
      <c r="H1" s="13">
        <f>SUM(H3:H12)</f>
        <v>36000</v>
      </c>
      <c r="I1" s="12"/>
      <c r="K1" s="16" t="s">
        <v>269</v>
      </c>
      <c r="L1" s="16"/>
    </row>
    <row r="2" spans="1:12" ht="28.8" x14ac:dyDescent="0.3">
      <c r="A2" s="3" t="s">
        <v>4</v>
      </c>
      <c r="B2" s="3" t="s">
        <v>2</v>
      </c>
      <c r="C2" s="4" t="s">
        <v>6</v>
      </c>
      <c r="D2" s="6" t="s">
        <v>7</v>
      </c>
      <c r="E2" s="6" t="s">
        <v>8</v>
      </c>
      <c r="F2" s="6" t="s">
        <v>3</v>
      </c>
      <c r="G2" s="6" t="s">
        <v>140</v>
      </c>
      <c r="H2" s="6" t="s">
        <v>10</v>
      </c>
      <c r="I2" s="4" t="s">
        <v>11</v>
      </c>
      <c r="J2" s="4" t="s">
        <v>12</v>
      </c>
      <c r="K2" s="4" t="s">
        <v>13</v>
      </c>
      <c r="L2" s="4" t="s">
        <v>9</v>
      </c>
    </row>
    <row r="3" spans="1:12" x14ac:dyDescent="0.3">
      <c r="A3" t="s">
        <v>209</v>
      </c>
      <c r="B3" s="5" t="s">
        <v>126</v>
      </c>
      <c r="C3" s="7">
        <v>39086</v>
      </c>
      <c r="D3" s="12">
        <v>4500</v>
      </c>
      <c r="E3" s="12">
        <v>4</v>
      </c>
      <c r="F3" s="12">
        <f>D3*E3</f>
        <v>18000</v>
      </c>
      <c r="G3" s="12">
        <f t="shared" ref="G3:G12" si="0">4-E3</f>
        <v>0</v>
      </c>
      <c r="H3" s="12">
        <f>D3*G3</f>
        <v>0</v>
      </c>
      <c r="I3" s="4" t="s">
        <v>141</v>
      </c>
      <c r="J3" s="4" t="s">
        <v>141</v>
      </c>
      <c r="K3" s="4" t="s">
        <v>141</v>
      </c>
      <c r="L3" s="4" t="s">
        <v>141</v>
      </c>
    </row>
    <row r="4" spans="1:12" x14ac:dyDescent="0.3">
      <c r="A4" t="s">
        <v>210</v>
      </c>
      <c r="B4" s="5" t="s">
        <v>127</v>
      </c>
      <c r="C4" s="7">
        <v>38681</v>
      </c>
      <c r="D4" s="12">
        <v>4500</v>
      </c>
      <c r="E4" s="12">
        <v>3</v>
      </c>
      <c r="F4" s="12">
        <f t="shared" ref="F4:F12" si="1">D4*E4</f>
        <v>13500</v>
      </c>
      <c r="G4" s="12">
        <f t="shared" si="0"/>
        <v>1</v>
      </c>
      <c r="H4" s="12">
        <f t="shared" ref="H4:H12" si="2">D4*G4</f>
        <v>4500</v>
      </c>
      <c r="I4" s="4" t="s">
        <v>141</v>
      </c>
      <c r="J4" s="4" t="s">
        <v>141</v>
      </c>
      <c r="K4" s="4" t="s">
        <v>141</v>
      </c>
      <c r="L4" s="4" t="s">
        <v>142</v>
      </c>
    </row>
    <row r="5" spans="1:12" x14ac:dyDescent="0.3">
      <c r="A5" t="s">
        <v>211</v>
      </c>
      <c r="B5" s="5" t="s">
        <v>128</v>
      </c>
      <c r="C5" s="7">
        <v>38815</v>
      </c>
      <c r="D5" s="12">
        <v>4500</v>
      </c>
      <c r="E5" s="12">
        <v>3</v>
      </c>
      <c r="F5" s="12">
        <f t="shared" si="1"/>
        <v>13500</v>
      </c>
      <c r="G5" s="12">
        <f t="shared" si="0"/>
        <v>1</v>
      </c>
      <c r="H5" s="12">
        <f t="shared" si="2"/>
        <v>4500</v>
      </c>
      <c r="I5" s="4" t="s">
        <v>141</v>
      </c>
      <c r="J5" s="4" t="s">
        <v>141</v>
      </c>
      <c r="K5" s="4" t="s">
        <v>141</v>
      </c>
      <c r="L5" s="4" t="s">
        <v>142</v>
      </c>
    </row>
    <row r="6" spans="1:12" x14ac:dyDescent="0.3">
      <c r="A6" t="s">
        <v>212</v>
      </c>
      <c r="B6" s="5" t="s">
        <v>129</v>
      </c>
      <c r="C6" s="7">
        <v>39278</v>
      </c>
      <c r="D6" s="12">
        <v>4500</v>
      </c>
      <c r="E6" s="12">
        <v>3</v>
      </c>
      <c r="F6" s="12">
        <f t="shared" si="1"/>
        <v>13500</v>
      </c>
      <c r="G6" s="12">
        <f t="shared" si="0"/>
        <v>1</v>
      </c>
      <c r="H6" s="12">
        <f t="shared" si="2"/>
        <v>4500</v>
      </c>
      <c r="I6" s="4" t="s">
        <v>141</v>
      </c>
      <c r="J6" s="4" t="s">
        <v>141</v>
      </c>
      <c r="K6" s="4" t="s">
        <v>141</v>
      </c>
      <c r="L6" s="4" t="s">
        <v>142</v>
      </c>
    </row>
    <row r="7" spans="1:12" x14ac:dyDescent="0.3">
      <c r="A7" t="s">
        <v>213</v>
      </c>
      <c r="B7" s="5" t="s">
        <v>130</v>
      </c>
      <c r="C7" s="7">
        <v>38760</v>
      </c>
      <c r="D7" s="12">
        <v>4500</v>
      </c>
      <c r="E7" s="12">
        <v>4</v>
      </c>
      <c r="F7" s="12">
        <f t="shared" si="1"/>
        <v>18000</v>
      </c>
      <c r="G7" s="12">
        <f t="shared" si="0"/>
        <v>0</v>
      </c>
      <c r="H7" s="12">
        <f t="shared" si="2"/>
        <v>0</v>
      </c>
      <c r="I7" s="4" t="s">
        <v>141</v>
      </c>
      <c r="J7" s="4" t="s">
        <v>141</v>
      </c>
      <c r="K7" s="4" t="s">
        <v>141</v>
      </c>
      <c r="L7" s="4" t="s">
        <v>141</v>
      </c>
    </row>
    <row r="8" spans="1:12" x14ac:dyDescent="0.3">
      <c r="A8" t="s">
        <v>214</v>
      </c>
      <c r="B8" s="5" t="s">
        <v>131</v>
      </c>
      <c r="C8" s="7">
        <v>38501</v>
      </c>
      <c r="D8" s="12">
        <v>4500</v>
      </c>
      <c r="E8" s="12">
        <v>4</v>
      </c>
      <c r="F8" s="12">
        <f t="shared" si="1"/>
        <v>18000</v>
      </c>
      <c r="G8" s="12">
        <f t="shared" si="0"/>
        <v>0</v>
      </c>
      <c r="H8" s="12">
        <f t="shared" si="2"/>
        <v>0</v>
      </c>
      <c r="I8" s="4" t="s">
        <v>141</v>
      </c>
      <c r="J8" s="4" t="s">
        <v>141</v>
      </c>
      <c r="K8" s="4" t="s">
        <v>141</v>
      </c>
      <c r="L8" s="4" t="s">
        <v>141</v>
      </c>
    </row>
    <row r="9" spans="1:12" x14ac:dyDescent="0.3">
      <c r="A9" t="s">
        <v>215</v>
      </c>
      <c r="B9" s="5" t="s">
        <v>132</v>
      </c>
      <c r="C9" s="7">
        <v>39000</v>
      </c>
      <c r="D9" s="12">
        <v>4500</v>
      </c>
      <c r="E9" s="12">
        <v>4</v>
      </c>
      <c r="F9" s="12">
        <f t="shared" si="1"/>
        <v>18000</v>
      </c>
      <c r="G9" s="12">
        <f t="shared" si="0"/>
        <v>0</v>
      </c>
      <c r="H9" s="12">
        <f t="shared" si="2"/>
        <v>0</v>
      </c>
      <c r="I9" s="4" t="s">
        <v>141</v>
      </c>
      <c r="J9" s="4" t="s">
        <v>141</v>
      </c>
      <c r="K9" s="4" t="s">
        <v>141</v>
      </c>
      <c r="L9" s="4" t="s">
        <v>141</v>
      </c>
    </row>
    <row r="10" spans="1:12" x14ac:dyDescent="0.3">
      <c r="A10" t="s">
        <v>216</v>
      </c>
      <c r="B10" s="5" t="s">
        <v>133</v>
      </c>
      <c r="C10" s="7">
        <v>39440</v>
      </c>
      <c r="D10" s="12">
        <v>4500</v>
      </c>
      <c r="E10" s="12">
        <v>3</v>
      </c>
      <c r="F10" s="12">
        <f t="shared" si="1"/>
        <v>13500</v>
      </c>
      <c r="G10" s="12">
        <f t="shared" si="0"/>
        <v>1</v>
      </c>
      <c r="H10" s="12">
        <f t="shared" si="2"/>
        <v>4500</v>
      </c>
      <c r="I10" s="4" t="s">
        <v>141</v>
      </c>
      <c r="J10" s="4" t="s">
        <v>141</v>
      </c>
      <c r="K10" s="4" t="s">
        <v>141</v>
      </c>
      <c r="L10" s="4" t="s">
        <v>142</v>
      </c>
    </row>
    <row r="11" spans="1:12" x14ac:dyDescent="0.3">
      <c r="A11" t="s">
        <v>217</v>
      </c>
      <c r="B11" s="5" t="s">
        <v>134</v>
      </c>
      <c r="C11" s="7">
        <v>38506</v>
      </c>
      <c r="D11" s="12">
        <v>4500</v>
      </c>
      <c r="E11" s="12">
        <v>2</v>
      </c>
      <c r="F11" s="12">
        <f t="shared" si="1"/>
        <v>9000</v>
      </c>
      <c r="G11" s="12">
        <f t="shared" si="0"/>
        <v>2</v>
      </c>
      <c r="H11" s="12">
        <f t="shared" si="2"/>
        <v>9000</v>
      </c>
      <c r="I11" s="4" t="s">
        <v>141</v>
      </c>
      <c r="J11" s="4" t="s">
        <v>141</v>
      </c>
      <c r="K11" s="4" t="s">
        <v>142</v>
      </c>
      <c r="L11" s="4" t="s">
        <v>142</v>
      </c>
    </row>
    <row r="12" spans="1:12" x14ac:dyDescent="0.3">
      <c r="A12" t="s">
        <v>218</v>
      </c>
      <c r="B12" s="5" t="s">
        <v>135</v>
      </c>
      <c r="C12" s="7">
        <v>38977</v>
      </c>
      <c r="D12" s="12">
        <v>4500</v>
      </c>
      <c r="E12" s="12">
        <v>2</v>
      </c>
      <c r="F12" s="12">
        <f t="shared" si="1"/>
        <v>9000</v>
      </c>
      <c r="G12" s="12">
        <f t="shared" si="0"/>
        <v>2</v>
      </c>
      <c r="H12" s="12">
        <f t="shared" si="2"/>
        <v>9000</v>
      </c>
      <c r="I12" s="4" t="s">
        <v>141</v>
      </c>
      <c r="J12" s="4" t="s">
        <v>141</v>
      </c>
      <c r="K12" s="4" t="s">
        <v>142</v>
      </c>
      <c r="L12" s="4" t="s">
        <v>142</v>
      </c>
    </row>
  </sheetData>
  <mergeCells count="1">
    <mergeCell ref="K1:L1"/>
  </mergeCells>
  <phoneticPr fontId="4" type="noConversion"/>
  <dataValidations count="1">
    <dataValidation type="list" allowBlank="1" showInputMessage="1" showErrorMessage="1" sqref="I3:L12" xr:uid="{EB0F23D2-B324-4305-BA8D-2B69343DCE85}">
      <formula1>"Paid, Due"</formula1>
    </dataValidation>
  </dataValidations>
  <hyperlinks>
    <hyperlink ref="K1:L1" location="Dashboard!A1" display="Dashboard" xr:uid="{CC6C2F43-A4CA-4990-94D4-FA3434DB29F5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B46E-F531-43D2-B04F-EF778C8C08D7}">
  <dimension ref="A1:N18"/>
  <sheetViews>
    <sheetView workbookViewId="0">
      <selection activeCell="D2" sqref="D2"/>
    </sheetView>
  </sheetViews>
  <sheetFormatPr defaultRowHeight="14.4" x14ac:dyDescent="0.3"/>
  <cols>
    <col min="1" max="1" width="9.6640625" bestFit="1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6.44140625" bestFit="1" customWidth="1"/>
    <col min="9" max="9" width="8.5546875" bestFit="1" customWidth="1"/>
  </cols>
  <sheetData>
    <row r="1" spans="1:14" ht="27" customHeight="1" x14ac:dyDescent="0.3">
      <c r="A1" s="8" t="s">
        <v>272</v>
      </c>
      <c r="B1" s="10" t="s">
        <v>5</v>
      </c>
      <c r="C1" s="13">
        <f>COUNTA(A3:A18)</f>
        <v>16</v>
      </c>
      <c r="D1" s="13">
        <f>SUM(D3:D18)*6</f>
        <v>384000</v>
      </c>
      <c r="E1" s="10"/>
      <c r="F1" s="13">
        <f>SUM(F3:F18)</f>
        <v>312000</v>
      </c>
      <c r="G1" s="10"/>
      <c r="H1" s="13">
        <f>SUM(H3:H18)</f>
        <v>72000</v>
      </c>
      <c r="M1" s="16" t="s">
        <v>269</v>
      </c>
      <c r="N1" s="16"/>
    </row>
    <row r="2" spans="1:14" ht="28.8" x14ac:dyDescent="0.3">
      <c r="A2" s="3" t="s">
        <v>4</v>
      </c>
      <c r="B2" s="3" t="s">
        <v>2</v>
      </c>
      <c r="C2" s="4" t="s">
        <v>6</v>
      </c>
      <c r="D2" s="6" t="s">
        <v>7</v>
      </c>
      <c r="E2" s="6" t="s">
        <v>8</v>
      </c>
      <c r="F2" s="6" t="s">
        <v>3</v>
      </c>
      <c r="G2" s="6" t="s">
        <v>140</v>
      </c>
      <c r="H2" s="6" t="s">
        <v>10</v>
      </c>
      <c r="I2" s="4" t="s">
        <v>11</v>
      </c>
      <c r="J2" s="4" t="s">
        <v>12</v>
      </c>
      <c r="K2" s="4" t="s">
        <v>13</v>
      </c>
      <c r="L2" s="4" t="s">
        <v>9</v>
      </c>
      <c r="M2" s="4" t="s">
        <v>14</v>
      </c>
      <c r="N2" s="4" t="s">
        <v>15</v>
      </c>
    </row>
    <row r="3" spans="1:14" x14ac:dyDescent="0.3">
      <c r="A3" t="s">
        <v>219</v>
      </c>
      <c r="B3" s="5" t="s">
        <v>136</v>
      </c>
      <c r="C3" s="11">
        <v>38788</v>
      </c>
      <c r="D3" s="12">
        <v>4000</v>
      </c>
      <c r="E3" s="12">
        <v>5</v>
      </c>
      <c r="F3" s="12">
        <f>D3*E3</f>
        <v>20000</v>
      </c>
      <c r="G3" s="12">
        <f t="shared" ref="G3:G18" si="0">6-E3</f>
        <v>1</v>
      </c>
      <c r="H3" s="12">
        <f>D3*G3</f>
        <v>4000</v>
      </c>
      <c r="I3" s="4" t="s">
        <v>141</v>
      </c>
      <c r="J3" s="4" t="s">
        <v>141</v>
      </c>
      <c r="K3" s="4" t="s">
        <v>141</v>
      </c>
      <c r="L3" s="4" t="s">
        <v>141</v>
      </c>
      <c r="M3" s="4" t="s">
        <v>141</v>
      </c>
      <c r="N3" s="4" t="s">
        <v>142</v>
      </c>
    </row>
    <row r="4" spans="1:14" x14ac:dyDescent="0.3">
      <c r="A4" t="s">
        <v>220</v>
      </c>
      <c r="B4" s="5" t="s">
        <v>137</v>
      </c>
      <c r="C4" s="11">
        <v>38558</v>
      </c>
      <c r="D4" s="12">
        <v>4000</v>
      </c>
      <c r="E4" s="12">
        <v>4</v>
      </c>
      <c r="F4" s="12">
        <f t="shared" ref="F4:F18" si="1">D4*E4</f>
        <v>16000</v>
      </c>
      <c r="G4" s="12">
        <f t="shared" si="0"/>
        <v>2</v>
      </c>
      <c r="H4" s="12">
        <f t="shared" ref="H4:H18" si="2">D4*G4</f>
        <v>8000</v>
      </c>
      <c r="I4" s="4" t="s">
        <v>141</v>
      </c>
      <c r="J4" s="4" t="s">
        <v>141</v>
      </c>
      <c r="K4" s="4" t="s">
        <v>141</v>
      </c>
      <c r="L4" s="4" t="s">
        <v>141</v>
      </c>
      <c r="M4" s="4" t="s">
        <v>142</v>
      </c>
      <c r="N4" s="4" t="s">
        <v>142</v>
      </c>
    </row>
    <row r="5" spans="1:14" x14ac:dyDescent="0.3">
      <c r="A5" t="s">
        <v>221</v>
      </c>
      <c r="B5" s="5" t="s">
        <v>138</v>
      </c>
      <c r="C5" s="11">
        <v>39100</v>
      </c>
      <c r="D5" s="12">
        <v>4000</v>
      </c>
      <c r="E5" s="12">
        <v>5</v>
      </c>
      <c r="F5" s="12">
        <f t="shared" si="1"/>
        <v>20000</v>
      </c>
      <c r="G5" s="12">
        <f t="shared" si="0"/>
        <v>1</v>
      </c>
      <c r="H5" s="12">
        <f t="shared" si="2"/>
        <v>4000</v>
      </c>
      <c r="I5" s="4" t="s">
        <v>141</v>
      </c>
      <c r="J5" s="4" t="s">
        <v>141</v>
      </c>
      <c r="K5" s="4" t="s">
        <v>141</v>
      </c>
      <c r="L5" s="4" t="s">
        <v>141</v>
      </c>
      <c r="M5" s="4" t="s">
        <v>141</v>
      </c>
      <c r="N5" s="4" t="s">
        <v>142</v>
      </c>
    </row>
    <row r="6" spans="1:14" x14ac:dyDescent="0.3">
      <c r="A6" t="s">
        <v>222</v>
      </c>
      <c r="B6" s="5" t="s">
        <v>139</v>
      </c>
      <c r="C6" s="11">
        <v>39030</v>
      </c>
      <c r="D6" s="12">
        <v>4000</v>
      </c>
      <c r="E6" s="12">
        <v>6</v>
      </c>
      <c r="F6" s="12">
        <f t="shared" si="1"/>
        <v>24000</v>
      </c>
      <c r="G6" s="12">
        <f t="shared" si="0"/>
        <v>0</v>
      </c>
      <c r="H6" s="12">
        <f t="shared" si="2"/>
        <v>0</v>
      </c>
      <c r="I6" s="4" t="s">
        <v>141</v>
      </c>
      <c r="J6" s="4" t="s">
        <v>141</v>
      </c>
      <c r="K6" s="4" t="s">
        <v>141</v>
      </c>
      <c r="L6" s="4" t="s">
        <v>141</v>
      </c>
      <c r="M6" s="4" t="s">
        <v>141</v>
      </c>
      <c r="N6" s="4" t="s">
        <v>141</v>
      </c>
    </row>
    <row r="7" spans="1:14" x14ac:dyDescent="0.3">
      <c r="A7" t="s">
        <v>223</v>
      </c>
      <c r="B7" s="5" t="s">
        <v>104</v>
      </c>
      <c r="C7" s="11">
        <v>38502</v>
      </c>
      <c r="D7" s="12">
        <v>4000</v>
      </c>
      <c r="E7" s="12">
        <v>5</v>
      </c>
      <c r="F7" s="12">
        <f t="shared" si="1"/>
        <v>20000</v>
      </c>
      <c r="G7" s="12">
        <f t="shared" si="0"/>
        <v>1</v>
      </c>
      <c r="H7" s="12">
        <f t="shared" si="2"/>
        <v>4000</v>
      </c>
      <c r="I7" s="4" t="s">
        <v>141</v>
      </c>
      <c r="J7" s="4" t="s">
        <v>141</v>
      </c>
      <c r="K7" s="4" t="s">
        <v>141</v>
      </c>
      <c r="L7" s="4" t="s">
        <v>141</v>
      </c>
      <c r="M7" s="4" t="s">
        <v>141</v>
      </c>
      <c r="N7" s="4" t="s">
        <v>142</v>
      </c>
    </row>
    <row r="8" spans="1:14" x14ac:dyDescent="0.3">
      <c r="A8" t="s">
        <v>224</v>
      </c>
      <c r="B8" s="5" t="s">
        <v>105</v>
      </c>
      <c r="C8" s="11">
        <v>38943</v>
      </c>
      <c r="D8" s="12">
        <v>4000</v>
      </c>
      <c r="E8" s="12">
        <v>4</v>
      </c>
      <c r="F8" s="12">
        <f t="shared" si="1"/>
        <v>16000</v>
      </c>
      <c r="G8" s="12">
        <f t="shared" si="0"/>
        <v>2</v>
      </c>
      <c r="H8" s="12">
        <f t="shared" si="2"/>
        <v>8000</v>
      </c>
      <c r="I8" s="4" t="s">
        <v>141</v>
      </c>
      <c r="J8" s="4" t="s">
        <v>141</v>
      </c>
      <c r="K8" s="4" t="s">
        <v>141</v>
      </c>
      <c r="L8" s="4" t="s">
        <v>141</v>
      </c>
      <c r="M8" s="4" t="s">
        <v>142</v>
      </c>
      <c r="N8" s="4" t="s">
        <v>142</v>
      </c>
    </row>
    <row r="9" spans="1:14" x14ac:dyDescent="0.3">
      <c r="A9" t="s">
        <v>225</v>
      </c>
      <c r="B9" s="5" t="s">
        <v>106</v>
      </c>
      <c r="C9" s="11">
        <v>39115</v>
      </c>
      <c r="D9" s="12">
        <v>4000</v>
      </c>
      <c r="E9" s="12">
        <v>5</v>
      </c>
      <c r="F9" s="12">
        <f t="shared" si="1"/>
        <v>20000</v>
      </c>
      <c r="G9" s="12">
        <f t="shared" si="0"/>
        <v>1</v>
      </c>
      <c r="H9" s="12">
        <f t="shared" si="2"/>
        <v>4000</v>
      </c>
      <c r="I9" s="4" t="s">
        <v>141</v>
      </c>
      <c r="J9" s="4" t="s">
        <v>141</v>
      </c>
      <c r="K9" s="4" t="s">
        <v>141</v>
      </c>
      <c r="L9" s="4" t="s">
        <v>141</v>
      </c>
      <c r="M9" s="4" t="s">
        <v>141</v>
      </c>
      <c r="N9" s="4" t="s">
        <v>142</v>
      </c>
    </row>
    <row r="10" spans="1:14" x14ac:dyDescent="0.3">
      <c r="A10" t="s">
        <v>226</v>
      </c>
      <c r="B10" s="5" t="s">
        <v>107</v>
      </c>
      <c r="C10" s="11">
        <v>38616</v>
      </c>
      <c r="D10" s="12">
        <v>4000</v>
      </c>
      <c r="E10" s="12">
        <v>6</v>
      </c>
      <c r="F10" s="12">
        <f t="shared" si="1"/>
        <v>24000</v>
      </c>
      <c r="G10" s="12">
        <f t="shared" si="0"/>
        <v>0</v>
      </c>
      <c r="H10" s="12">
        <f t="shared" si="2"/>
        <v>0</v>
      </c>
      <c r="I10" s="4" t="s">
        <v>141</v>
      </c>
      <c r="J10" s="4" t="s">
        <v>141</v>
      </c>
      <c r="K10" s="4" t="s">
        <v>141</v>
      </c>
      <c r="L10" s="4" t="s">
        <v>141</v>
      </c>
      <c r="M10" s="4" t="s">
        <v>141</v>
      </c>
      <c r="N10" s="4" t="s">
        <v>141</v>
      </c>
    </row>
    <row r="11" spans="1:14" x14ac:dyDescent="0.3">
      <c r="A11" t="s">
        <v>227</v>
      </c>
      <c r="B11" s="5" t="s">
        <v>108</v>
      </c>
      <c r="C11" s="11">
        <v>38818</v>
      </c>
      <c r="D11" s="12">
        <v>4000</v>
      </c>
      <c r="E11" s="12">
        <v>5</v>
      </c>
      <c r="F11" s="12">
        <f t="shared" si="1"/>
        <v>20000</v>
      </c>
      <c r="G11" s="12">
        <f t="shared" si="0"/>
        <v>1</v>
      </c>
      <c r="H11" s="12">
        <f t="shared" si="2"/>
        <v>4000</v>
      </c>
      <c r="I11" s="4" t="s">
        <v>141</v>
      </c>
      <c r="J11" s="4" t="s">
        <v>141</v>
      </c>
      <c r="K11" s="4" t="s">
        <v>141</v>
      </c>
      <c r="L11" s="4" t="s">
        <v>141</v>
      </c>
      <c r="M11" s="4" t="s">
        <v>141</v>
      </c>
      <c r="N11" s="4" t="s">
        <v>142</v>
      </c>
    </row>
    <row r="12" spans="1:14" x14ac:dyDescent="0.3">
      <c r="A12" t="s">
        <v>228</v>
      </c>
      <c r="B12" s="5" t="s">
        <v>109</v>
      </c>
      <c r="C12" s="11">
        <v>39443</v>
      </c>
      <c r="D12" s="12">
        <v>4000</v>
      </c>
      <c r="E12" s="12">
        <v>4</v>
      </c>
      <c r="F12" s="12">
        <f t="shared" si="1"/>
        <v>16000</v>
      </c>
      <c r="G12" s="12">
        <f t="shared" si="0"/>
        <v>2</v>
      </c>
      <c r="H12" s="12">
        <f t="shared" si="2"/>
        <v>8000</v>
      </c>
      <c r="I12" s="4" t="s">
        <v>141</v>
      </c>
      <c r="J12" s="4" t="s">
        <v>141</v>
      </c>
      <c r="K12" s="4" t="s">
        <v>141</v>
      </c>
      <c r="L12" s="4" t="s">
        <v>141</v>
      </c>
      <c r="M12" s="4" t="s">
        <v>142</v>
      </c>
      <c r="N12" s="4" t="s">
        <v>142</v>
      </c>
    </row>
    <row r="13" spans="1:14" x14ac:dyDescent="0.3">
      <c r="A13" t="s">
        <v>229</v>
      </c>
      <c r="B13" s="5" t="s">
        <v>110</v>
      </c>
      <c r="C13" s="11">
        <v>38508</v>
      </c>
      <c r="D13" s="12">
        <v>4000</v>
      </c>
      <c r="E13" s="12">
        <v>4</v>
      </c>
      <c r="F13" s="12">
        <f t="shared" si="1"/>
        <v>16000</v>
      </c>
      <c r="G13" s="12">
        <f t="shared" si="0"/>
        <v>2</v>
      </c>
      <c r="H13" s="12">
        <f t="shared" si="2"/>
        <v>8000</v>
      </c>
      <c r="I13" s="4" t="s">
        <v>141</v>
      </c>
      <c r="J13" s="4" t="s">
        <v>141</v>
      </c>
      <c r="K13" s="4" t="s">
        <v>141</v>
      </c>
      <c r="L13" s="4" t="s">
        <v>141</v>
      </c>
      <c r="M13" s="4" t="s">
        <v>142</v>
      </c>
      <c r="N13" s="4" t="s">
        <v>142</v>
      </c>
    </row>
    <row r="14" spans="1:14" x14ac:dyDescent="0.3">
      <c r="A14" t="s">
        <v>230</v>
      </c>
      <c r="B14" s="5" t="s">
        <v>111</v>
      </c>
      <c r="C14" s="11">
        <v>39009</v>
      </c>
      <c r="D14" s="12">
        <v>4000</v>
      </c>
      <c r="E14" s="12">
        <v>5</v>
      </c>
      <c r="F14" s="12">
        <f t="shared" si="1"/>
        <v>20000</v>
      </c>
      <c r="G14" s="12">
        <f t="shared" si="0"/>
        <v>1</v>
      </c>
      <c r="H14" s="12">
        <f t="shared" si="2"/>
        <v>4000</v>
      </c>
      <c r="I14" s="4" t="s">
        <v>141</v>
      </c>
      <c r="J14" s="4" t="s">
        <v>141</v>
      </c>
      <c r="K14" s="4" t="s">
        <v>141</v>
      </c>
      <c r="L14" s="4" t="s">
        <v>141</v>
      </c>
      <c r="M14" s="4" t="s">
        <v>141</v>
      </c>
      <c r="N14" s="4" t="s">
        <v>142</v>
      </c>
    </row>
    <row r="15" spans="1:14" x14ac:dyDescent="0.3">
      <c r="A15" t="s">
        <v>231</v>
      </c>
      <c r="B15" s="5" t="s">
        <v>112</v>
      </c>
      <c r="C15" s="11">
        <v>39090</v>
      </c>
      <c r="D15" s="12">
        <v>4000</v>
      </c>
      <c r="E15" s="12">
        <v>4</v>
      </c>
      <c r="F15" s="12">
        <f t="shared" si="1"/>
        <v>16000</v>
      </c>
      <c r="G15" s="12">
        <f t="shared" si="0"/>
        <v>2</v>
      </c>
      <c r="H15" s="12">
        <f t="shared" si="2"/>
        <v>8000</v>
      </c>
      <c r="I15" s="4" t="s">
        <v>141</v>
      </c>
      <c r="J15" s="4" t="s">
        <v>141</v>
      </c>
      <c r="K15" s="4" t="s">
        <v>141</v>
      </c>
      <c r="L15" s="4" t="s">
        <v>141</v>
      </c>
      <c r="M15" s="4" t="s">
        <v>142</v>
      </c>
      <c r="N15" s="4" t="s">
        <v>142</v>
      </c>
    </row>
    <row r="16" spans="1:14" x14ac:dyDescent="0.3">
      <c r="A16" t="s">
        <v>232</v>
      </c>
      <c r="B16" s="5" t="s">
        <v>113</v>
      </c>
      <c r="C16" s="11">
        <v>38799</v>
      </c>
      <c r="D16" s="12">
        <v>4000</v>
      </c>
      <c r="E16" s="12">
        <v>5</v>
      </c>
      <c r="F16" s="12">
        <f t="shared" si="1"/>
        <v>20000</v>
      </c>
      <c r="G16" s="12">
        <f t="shared" si="0"/>
        <v>1</v>
      </c>
      <c r="H16" s="12">
        <f t="shared" si="2"/>
        <v>4000</v>
      </c>
      <c r="I16" s="4" t="s">
        <v>141</v>
      </c>
      <c r="J16" s="4" t="s">
        <v>141</v>
      </c>
      <c r="K16" s="4" t="s">
        <v>141</v>
      </c>
      <c r="L16" s="4" t="s">
        <v>141</v>
      </c>
      <c r="M16" s="4" t="s">
        <v>141</v>
      </c>
      <c r="N16" s="4" t="s">
        <v>142</v>
      </c>
    </row>
    <row r="17" spans="1:14" x14ac:dyDescent="0.3">
      <c r="A17" t="s">
        <v>233</v>
      </c>
      <c r="B17" s="5" t="s">
        <v>114</v>
      </c>
      <c r="C17" s="11">
        <v>38549</v>
      </c>
      <c r="D17" s="12">
        <v>4000</v>
      </c>
      <c r="E17" s="12">
        <v>6</v>
      </c>
      <c r="F17" s="12">
        <f t="shared" si="1"/>
        <v>24000</v>
      </c>
      <c r="G17" s="12">
        <f t="shared" si="0"/>
        <v>0</v>
      </c>
      <c r="H17" s="12">
        <f t="shared" si="2"/>
        <v>0</v>
      </c>
      <c r="I17" s="4" t="s">
        <v>141</v>
      </c>
      <c r="J17" s="4" t="s">
        <v>141</v>
      </c>
      <c r="K17" s="4" t="s">
        <v>141</v>
      </c>
      <c r="L17" s="4" t="s">
        <v>141</v>
      </c>
      <c r="M17" s="4" t="s">
        <v>141</v>
      </c>
      <c r="N17" s="4" t="s">
        <v>141</v>
      </c>
    </row>
    <row r="18" spans="1:14" x14ac:dyDescent="0.3">
      <c r="A18" t="s">
        <v>234</v>
      </c>
      <c r="B18" s="5" t="s">
        <v>115</v>
      </c>
      <c r="C18" s="11">
        <v>38970</v>
      </c>
      <c r="D18" s="12">
        <v>4000</v>
      </c>
      <c r="E18" s="12">
        <v>5</v>
      </c>
      <c r="F18" s="12">
        <f t="shared" si="1"/>
        <v>20000</v>
      </c>
      <c r="G18" s="12">
        <f t="shared" si="0"/>
        <v>1</v>
      </c>
      <c r="H18" s="12">
        <f t="shared" si="2"/>
        <v>4000</v>
      </c>
      <c r="I18" s="4" t="s">
        <v>141</v>
      </c>
      <c r="J18" s="4" t="s">
        <v>141</v>
      </c>
      <c r="K18" s="4" t="s">
        <v>141</v>
      </c>
      <c r="L18" s="4" t="s">
        <v>141</v>
      </c>
      <c r="M18" s="4" t="s">
        <v>141</v>
      </c>
      <c r="N18" s="4" t="s">
        <v>142</v>
      </c>
    </row>
  </sheetData>
  <mergeCells count="1">
    <mergeCell ref="M1:N1"/>
  </mergeCells>
  <phoneticPr fontId="4" type="noConversion"/>
  <dataValidations count="1">
    <dataValidation type="list" allowBlank="1" showInputMessage="1" showErrorMessage="1" sqref="I3:N18" xr:uid="{9927B84F-5624-4602-9E3F-80420FFBD3A3}">
      <formula1>"Paid, Due"</formula1>
    </dataValidation>
  </dataValidations>
  <hyperlinks>
    <hyperlink ref="M1:N1" location="Dashboard!A1" display="Dashboard" xr:uid="{900789B5-3E2F-465B-95A7-2DB60DFAEF27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B03C-AB4B-4FC1-A9A4-BDBC9E13594D}">
  <dimension ref="A1:P18"/>
  <sheetViews>
    <sheetView workbookViewId="0">
      <selection activeCell="O1" sqref="O1:P1"/>
    </sheetView>
  </sheetViews>
  <sheetFormatPr defaultRowHeight="14.4" x14ac:dyDescent="0.3"/>
  <cols>
    <col min="1" max="1" width="23.21875" bestFit="1" customWidth="1"/>
    <col min="2" max="2" width="24.88671875" bestFit="1" customWidth="1"/>
    <col min="3" max="3" width="10.33203125" bestFit="1" customWidth="1"/>
    <col min="4" max="4" width="12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6.44140625" bestFit="1" customWidth="1"/>
    <col min="9" max="9" width="8.5546875" bestFit="1" customWidth="1"/>
  </cols>
  <sheetData>
    <row r="1" spans="1:16" ht="27" customHeight="1" x14ac:dyDescent="0.3">
      <c r="A1" s="14" t="s">
        <v>273</v>
      </c>
      <c r="B1" s="10" t="s">
        <v>5</v>
      </c>
      <c r="C1" s="13">
        <f>COUNTA(A3:A18)</f>
        <v>16</v>
      </c>
      <c r="D1" s="13">
        <f>SUM(D3:D18)*8</f>
        <v>896000</v>
      </c>
      <c r="E1" s="10"/>
      <c r="F1" s="13">
        <f>SUM(F3:F18)</f>
        <v>791000</v>
      </c>
      <c r="G1" s="10"/>
      <c r="H1" s="13">
        <f>SUM(H3:H18)</f>
        <v>105000</v>
      </c>
      <c r="O1" s="16" t="s">
        <v>269</v>
      </c>
      <c r="P1" s="16"/>
    </row>
    <row r="2" spans="1:16" ht="28.8" x14ac:dyDescent="0.3">
      <c r="A2" s="3" t="s">
        <v>4</v>
      </c>
      <c r="B2" s="3" t="s">
        <v>2</v>
      </c>
      <c r="C2" s="4" t="s">
        <v>6</v>
      </c>
      <c r="D2" s="6" t="s">
        <v>7</v>
      </c>
      <c r="E2" s="6" t="s">
        <v>8</v>
      </c>
      <c r="F2" s="6" t="s">
        <v>3</v>
      </c>
      <c r="G2" s="6" t="s">
        <v>140</v>
      </c>
      <c r="H2" s="6" t="s">
        <v>10</v>
      </c>
      <c r="I2" s="4" t="s">
        <v>11</v>
      </c>
      <c r="J2" s="4" t="s">
        <v>12</v>
      </c>
      <c r="K2" s="4" t="s">
        <v>13</v>
      </c>
      <c r="L2" s="4" t="s">
        <v>9</v>
      </c>
      <c r="M2" s="4" t="s">
        <v>14</v>
      </c>
      <c r="N2" s="4" t="s">
        <v>15</v>
      </c>
      <c r="O2" s="4" t="s">
        <v>16</v>
      </c>
      <c r="P2" s="4" t="s">
        <v>181</v>
      </c>
    </row>
    <row r="3" spans="1:16" x14ac:dyDescent="0.3">
      <c r="A3" t="s">
        <v>235</v>
      </c>
      <c r="B3" s="5" t="s">
        <v>77</v>
      </c>
      <c r="C3" s="7">
        <v>38684</v>
      </c>
      <c r="D3" s="4">
        <v>7000</v>
      </c>
      <c r="E3" s="4">
        <v>7</v>
      </c>
      <c r="F3" s="4">
        <f>D3*E3</f>
        <v>49000</v>
      </c>
      <c r="G3" s="4">
        <f t="shared" ref="G3:G18" si="0">8-E3</f>
        <v>1</v>
      </c>
      <c r="H3" s="4">
        <f>D3*G3</f>
        <v>7000</v>
      </c>
      <c r="I3" s="4" t="s">
        <v>141</v>
      </c>
      <c r="J3" s="4" t="s">
        <v>141</v>
      </c>
      <c r="K3" s="4" t="s">
        <v>141</v>
      </c>
      <c r="L3" s="4" t="s">
        <v>141</v>
      </c>
      <c r="M3" s="4" t="s">
        <v>141</v>
      </c>
      <c r="N3" s="4" t="s">
        <v>141</v>
      </c>
      <c r="O3" s="4" t="s">
        <v>141</v>
      </c>
      <c r="P3" s="4" t="s">
        <v>142</v>
      </c>
    </row>
    <row r="4" spans="1:16" x14ac:dyDescent="0.3">
      <c r="A4" t="s">
        <v>236</v>
      </c>
      <c r="B4" s="5" t="s">
        <v>78</v>
      </c>
      <c r="C4" s="7">
        <v>38812</v>
      </c>
      <c r="D4" s="4">
        <v>7000</v>
      </c>
      <c r="E4" s="4">
        <v>8</v>
      </c>
      <c r="F4" s="4">
        <f t="shared" ref="F4:F18" si="1">D4*E4</f>
        <v>56000</v>
      </c>
      <c r="G4" s="4">
        <f t="shared" si="0"/>
        <v>0</v>
      </c>
      <c r="H4" s="4">
        <f t="shared" ref="H4:H18" si="2">D4*G4</f>
        <v>0</v>
      </c>
      <c r="I4" s="4" t="s">
        <v>141</v>
      </c>
      <c r="J4" s="4" t="s">
        <v>141</v>
      </c>
      <c r="K4" s="4" t="s">
        <v>141</v>
      </c>
      <c r="L4" s="4" t="s">
        <v>141</v>
      </c>
      <c r="M4" s="4" t="s">
        <v>141</v>
      </c>
      <c r="N4" s="4" t="s">
        <v>141</v>
      </c>
      <c r="O4" s="4" t="s">
        <v>141</v>
      </c>
      <c r="P4" s="4" t="s">
        <v>141</v>
      </c>
    </row>
    <row r="5" spans="1:16" x14ac:dyDescent="0.3">
      <c r="A5" t="s">
        <v>237</v>
      </c>
      <c r="B5" s="5" t="s">
        <v>79</v>
      </c>
      <c r="C5" s="7">
        <v>39310</v>
      </c>
      <c r="D5" s="4">
        <v>7000</v>
      </c>
      <c r="E5" s="4">
        <v>7</v>
      </c>
      <c r="F5" s="4">
        <f t="shared" si="1"/>
        <v>49000</v>
      </c>
      <c r="G5" s="4">
        <f t="shared" si="0"/>
        <v>1</v>
      </c>
      <c r="H5" s="4">
        <f t="shared" si="2"/>
        <v>7000</v>
      </c>
      <c r="I5" s="4" t="s">
        <v>141</v>
      </c>
      <c r="J5" s="4" t="s">
        <v>141</v>
      </c>
      <c r="K5" s="4" t="s">
        <v>141</v>
      </c>
      <c r="L5" s="4" t="s">
        <v>141</v>
      </c>
      <c r="M5" s="4" t="s">
        <v>141</v>
      </c>
      <c r="N5" s="4" t="s">
        <v>141</v>
      </c>
      <c r="O5" s="4" t="s">
        <v>141</v>
      </c>
      <c r="P5" s="4" t="s">
        <v>142</v>
      </c>
    </row>
    <row r="6" spans="1:16" x14ac:dyDescent="0.3">
      <c r="A6" t="s">
        <v>238</v>
      </c>
      <c r="B6" s="5" t="s">
        <v>80</v>
      </c>
      <c r="C6" s="7">
        <v>38757</v>
      </c>
      <c r="D6" s="4">
        <v>7000</v>
      </c>
      <c r="E6" s="4">
        <v>8</v>
      </c>
      <c r="F6" s="4">
        <f t="shared" si="1"/>
        <v>56000</v>
      </c>
      <c r="G6" s="4">
        <f t="shared" si="0"/>
        <v>0</v>
      </c>
      <c r="H6" s="4">
        <f t="shared" si="2"/>
        <v>0</v>
      </c>
      <c r="I6" s="4" t="s">
        <v>141</v>
      </c>
      <c r="J6" s="4" t="s">
        <v>141</v>
      </c>
      <c r="K6" s="4" t="s">
        <v>141</v>
      </c>
      <c r="L6" s="4" t="s">
        <v>141</v>
      </c>
      <c r="M6" s="4" t="s">
        <v>141</v>
      </c>
      <c r="N6" s="4" t="s">
        <v>141</v>
      </c>
      <c r="O6" s="4" t="s">
        <v>141</v>
      </c>
      <c r="P6" s="4" t="s">
        <v>141</v>
      </c>
    </row>
    <row r="7" spans="1:16" x14ac:dyDescent="0.3">
      <c r="A7" t="s">
        <v>239</v>
      </c>
      <c r="B7" s="5" t="s">
        <v>81</v>
      </c>
      <c r="C7" s="7">
        <v>38493</v>
      </c>
      <c r="D7" s="4">
        <v>7000</v>
      </c>
      <c r="E7" s="4">
        <v>6</v>
      </c>
      <c r="F7" s="4">
        <f t="shared" si="1"/>
        <v>42000</v>
      </c>
      <c r="G7" s="4">
        <f t="shared" si="0"/>
        <v>2</v>
      </c>
      <c r="H7" s="4">
        <f t="shared" si="2"/>
        <v>14000</v>
      </c>
      <c r="I7" s="4" t="s">
        <v>141</v>
      </c>
      <c r="J7" s="4" t="s">
        <v>141</v>
      </c>
      <c r="K7" s="4" t="s">
        <v>141</v>
      </c>
      <c r="L7" s="4" t="s">
        <v>141</v>
      </c>
      <c r="M7" s="4" t="s">
        <v>141</v>
      </c>
      <c r="N7" s="4" t="s">
        <v>141</v>
      </c>
      <c r="O7" s="4" t="s">
        <v>142</v>
      </c>
      <c r="P7" s="4" t="s">
        <v>142</v>
      </c>
    </row>
    <row r="8" spans="1:16" x14ac:dyDescent="0.3">
      <c r="A8" t="s">
        <v>240</v>
      </c>
      <c r="B8" s="5" t="s">
        <v>82</v>
      </c>
      <c r="C8" s="7">
        <v>39003</v>
      </c>
      <c r="D8" s="4">
        <v>7000</v>
      </c>
      <c r="E8" s="4">
        <v>7</v>
      </c>
      <c r="F8" s="4">
        <f t="shared" si="1"/>
        <v>49000</v>
      </c>
      <c r="G8" s="4">
        <f t="shared" si="0"/>
        <v>1</v>
      </c>
      <c r="H8" s="4">
        <f t="shared" si="2"/>
        <v>7000</v>
      </c>
      <c r="I8" s="4" t="s">
        <v>141</v>
      </c>
      <c r="J8" s="4" t="s">
        <v>141</v>
      </c>
      <c r="K8" s="4" t="s">
        <v>141</v>
      </c>
      <c r="L8" s="4" t="s">
        <v>141</v>
      </c>
      <c r="M8" s="4" t="s">
        <v>141</v>
      </c>
      <c r="N8" s="4" t="s">
        <v>141</v>
      </c>
      <c r="O8" s="4" t="s">
        <v>141</v>
      </c>
      <c r="P8" s="4" t="s">
        <v>142</v>
      </c>
    </row>
    <row r="9" spans="1:16" x14ac:dyDescent="0.3">
      <c r="A9" t="s">
        <v>241</v>
      </c>
      <c r="B9" s="5" t="s">
        <v>83</v>
      </c>
      <c r="C9" s="7">
        <v>39443</v>
      </c>
      <c r="D9" s="4">
        <v>7000</v>
      </c>
      <c r="E9" s="4">
        <v>8</v>
      </c>
      <c r="F9" s="4">
        <f t="shared" si="1"/>
        <v>56000</v>
      </c>
      <c r="G9" s="4">
        <f t="shared" si="0"/>
        <v>0</v>
      </c>
      <c r="H9" s="4">
        <f t="shared" si="2"/>
        <v>0</v>
      </c>
      <c r="I9" s="4" t="s">
        <v>141</v>
      </c>
      <c r="J9" s="4" t="s">
        <v>141</v>
      </c>
      <c r="K9" s="4" t="s">
        <v>141</v>
      </c>
      <c r="L9" s="4" t="s">
        <v>141</v>
      </c>
      <c r="M9" s="4" t="s">
        <v>141</v>
      </c>
      <c r="N9" s="4" t="s">
        <v>141</v>
      </c>
      <c r="O9" s="4" t="s">
        <v>141</v>
      </c>
      <c r="P9" s="4" t="s">
        <v>141</v>
      </c>
    </row>
    <row r="10" spans="1:16" x14ac:dyDescent="0.3">
      <c r="A10" t="s">
        <v>242</v>
      </c>
      <c r="B10" s="5" t="s">
        <v>84</v>
      </c>
      <c r="C10" s="7">
        <v>38509</v>
      </c>
      <c r="D10" s="4">
        <v>7000</v>
      </c>
      <c r="E10" s="4">
        <v>8</v>
      </c>
      <c r="F10" s="4">
        <f t="shared" si="1"/>
        <v>56000</v>
      </c>
      <c r="G10" s="4">
        <f t="shared" si="0"/>
        <v>0</v>
      </c>
      <c r="H10" s="4">
        <f t="shared" si="2"/>
        <v>0</v>
      </c>
      <c r="I10" s="4" t="s">
        <v>141</v>
      </c>
      <c r="J10" s="4" t="s">
        <v>141</v>
      </c>
      <c r="K10" s="4" t="s">
        <v>141</v>
      </c>
      <c r="L10" s="4" t="s">
        <v>141</v>
      </c>
      <c r="M10" s="4" t="s">
        <v>141</v>
      </c>
      <c r="N10" s="4" t="s">
        <v>141</v>
      </c>
      <c r="O10" s="4" t="s">
        <v>141</v>
      </c>
      <c r="P10" s="4" t="s">
        <v>141</v>
      </c>
    </row>
    <row r="11" spans="1:16" x14ac:dyDescent="0.3">
      <c r="A11" t="s">
        <v>243</v>
      </c>
      <c r="B11" s="5" t="s">
        <v>85</v>
      </c>
      <c r="C11" s="7">
        <v>38978</v>
      </c>
      <c r="D11" s="4">
        <v>7000</v>
      </c>
      <c r="E11" s="4">
        <v>7</v>
      </c>
      <c r="F11" s="4">
        <f t="shared" si="1"/>
        <v>49000</v>
      </c>
      <c r="G11" s="4">
        <f t="shared" si="0"/>
        <v>1</v>
      </c>
      <c r="H11" s="4">
        <f t="shared" si="2"/>
        <v>7000</v>
      </c>
      <c r="I11" s="4" t="s">
        <v>141</v>
      </c>
      <c r="J11" s="4" t="s">
        <v>141</v>
      </c>
      <c r="K11" s="4" t="s">
        <v>141</v>
      </c>
      <c r="L11" s="4" t="s">
        <v>141</v>
      </c>
      <c r="M11" s="4" t="s">
        <v>141</v>
      </c>
      <c r="N11" s="4" t="s">
        <v>141</v>
      </c>
      <c r="O11" s="4" t="s">
        <v>141</v>
      </c>
      <c r="P11" s="4" t="s">
        <v>142</v>
      </c>
    </row>
    <row r="12" spans="1:16" x14ac:dyDescent="0.3">
      <c r="A12" t="s">
        <v>244</v>
      </c>
      <c r="B12" s="5" t="s">
        <v>86</v>
      </c>
      <c r="C12" s="7">
        <v>39086</v>
      </c>
      <c r="D12" s="4">
        <v>7000</v>
      </c>
      <c r="E12" s="4">
        <v>7</v>
      </c>
      <c r="F12" s="4">
        <f t="shared" si="1"/>
        <v>49000</v>
      </c>
      <c r="G12" s="4">
        <f t="shared" si="0"/>
        <v>1</v>
      </c>
      <c r="H12" s="4">
        <f t="shared" si="2"/>
        <v>7000</v>
      </c>
      <c r="I12" s="4" t="s">
        <v>141</v>
      </c>
      <c r="J12" s="4" t="s">
        <v>141</v>
      </c>
      <c r="K12" s="4" t="s">
        <v>141</v>
      </c>
      <c r="L12" s="4" t="s">
        <v>141</v>
      </c>
      <c r="M12" s="4" t="s">
        <v>141</v>
      </c>
      <c r="N12" s="4" t="s">
        <v>141</v>
      </c>
      <c r="O12" s="4" t="s">
        <v>141</v>
      </c>
      <c r="P12" s="4" t="s">
        <v>142</v>
      </c>
    </row>
    <row r="13" spans="1:16" x14ac:dyDescent="0.3">
      <c r="A13" t="s">
        <v>245</v>
      </c>
      <c r="B13" s="5" t="s">
        <v>87</v>
      </c>
      <c r="C13" s="7">
        <v>38681</v>
      </c>
      <c r="D13" s="4">
        <v>7000</v>
      </c>
      <c r="E13" s="4">
        <v>6</v>
      </c>
      <c r="F13" s="4">
        <f t="shared" si="1"/>
        <v>42000</v>
      </c>
      <c r="G13" s="4">
        <f t="shared" si="0"/>
        <v>2</v>
      </c>
      <c r="H13" s="4">
        <f t="shared" si="2"/>
        <v>14000</v>
      </c>
      <c r="I13" s="4" t="s">
        <v>141</v>
      </c>
      <c r="J13" s="4" t="s">
        <v>141</v>
      </c>
      <c r="K13" s="4" t="s">
        <v>141</v>
      </c>
      <c r="L13" s="4" t="s">
        <v>141</v>
      </c>
      <c r="M13" s="4" t="s">
        <v>141</v>
      </c>
      <c r="N13" s="4" t="s">
        <v>141</v>
      </c>
      <c r="O13" s="4" t="s">
        <v>142</v>
      </c>
      <c r="P13" s="4" t="s">
        <v>142</v>
      </c>
    </row>
    <row r="14" spans="1:16" x14ac:dyDescent="0.3">
      <c r="A14" t="s">
        <v>246</v>
      </c>
      <c r="B14" s="5" t="s">
        <v>88</v>
      </c>
      <c r="C14" s="7">
        <v>38815</v>
      </c>
      <c r="D14" s="4">
        <v>7000</v>
      </c>
      <c r="E14" s="4">
        <v>6</v>
      </c>
      <c r="F14" s="4">
        <f t="shared" si="1"/>
        <v>42000</v>
      </c>
      <c r="G14" s="4">
        <f t="shared" si="0"/>
        <v>2</v>
      </c>
      <c r="H14" s="4">
        <f t="shared" si="2"/>
        <v>14000</v>
      </c>
      <c r="I14" s="4" t="s">
        <v>141</v>
      </c>
      <c r="J14" s="4" t="s">
        <v>141</v>
      </c>
      <c r="K14" s="4" t="s">
        <v>141</v>
      </c>
      <c r="L14" s="4" t="s">
        <v>141</v>
      </c>
      <c r="M14" s="4" t="s">
        <v>141</v>
      </c>
      <c r="N14" s="4" t="s">
        <v>141</v>
      </c>
      <c r="O14" s="4" t="s">
        <v>142</v>
      </c>
      <c r="P14" s="4" t="s">
        <v>142</v>
      </c>
    </row>
    <row r="15" spans="1:16" x14ac:dyDescent="0.3">
      <c r="A15" t="s">
        <v>247</v>
      </c>
      <c r="B15" s="5" t="s">
        <v>89</v>
      </c>
      <c r="C15" s="7">
        <v>39278</v>
      </c>
      <c r="D15" s="4">
        <v>7000</v>
      </c>
      <c r="E15" s="4">
        <v>8</v>
      </c>
      <c r="F15" s="4">
        <f t="shared" si="1"/>
        <v>56000</v>
      </c>
      <c r="G15" s="4">
        <f t="shared" si="0"/>
        <v>0</v>
      </c>
      <c r="H15" s="4">
        <f t="shared" si="2"/>
        <v>0</v>
      </c>
      <c r="I15" s="4" t="s">
        <v>141</v>
      </c>
      <c r="J15" s="4" t="s">
        <v>141</v>
      </c>
      <c r="K15" s="4" t="s">
        <v>141</v>
      </c>
      <c r="L15" s="4" t="s">
        <v>141</v>
      </c>
      <c r="M15" s="4" t="s">
        <v>141</v>
      </c>
      <c r="N15" s="4" t="s">
        <v>141</v>
      </c>
      <c r="O15" s="4" t="s">
        <v>141</v>
      </c>
      <c r="P15" s="4" t="s">
        <v>141</v>
      </c>
    </row>
    <row r="16" spans="1:16" x14ac:dyDescent="0.3">
      <c r="A16" t="s">
        <v>248</v>
      </c>
      <c r="B16" s="5" t="s">
        <v>90</v>
      </c>
      <c r="C16" s="7">
        <v>38760</v>
      </c>
      <c r="D16" s="4">
        <v>7000</v>
      </c>
      <c r="E16" s="4">
        <v>7</v>
      </c>
      <c r="F16" s="4">
        <f t="shared" si="1"/>
        <v>49000</v>
      </c>
      <c r="G16" s="4">
        <f t="shared" si="0"/>
        <v>1</v>
      </c>
      <c r="H16" s="4">
        <f t="shared" si="2"/>
        <v>7000</v>
      </c>
      <c r="I16" s="4" t="s">
        <v>141</v>
      </c>
      <c r="J16" s="4" t="s">
        <v>141</v>
      </c>
      <c r="K16" s="4" t="s">
        <v>141</v>
      </c>
      <c r="L16" s="4" t="s">
        <v>141</v>
      </c>
      <c r="M16" s="4" t="s">
        <v>141</v>
      </c>
      <c r="N16" s="4" t="s">
        <v>141</v>
      </c>
      <c r="O16" s="4" t="s">
        <v>141</v>
      </c>
      <c r="P16" s="4" t="s">
        <v>142</v>
      </c>
    </row>
    <row r="17" spans="1:16" x14ac:dyDescent="0.3">
      <c r="A17" t="s">
        <v>249</v>
      </c>
      <c r="B17" s="5" t="s">
        <v>91</v>
      </c>
      <c r="C17" s="7">
        <v>38501</v>
      </c>
      <c r="D17" s="4">
        <v>7000</v>
      </c>
      <c r="E17" s="4">
        <v>6</v>
      </c>
      <c r="F17" s="4">
        <f t="shared" si="1"/>
        <v>42000</v>
      </c>
      <c r="G17" s="4">
        <f t="shared" si="0"/>
        <v>2</v>
      </c>
      <c r="H17" s="4">
        <f t="shared" si="2"/>
        <v>14000</v>
      </c>
      <c r="I17" s="4" t="s">
        <v>141</v>
      </c>
      <c r="J17" s="4" t="s">
        <v>141</v>
      </c>
      <c r="K17" s="4" t="s">
        <v>141</v>
      </c>
      <c r="L17" s="4" t="s">
        <v>141</v>
      </c>
      <c r="M17" s="4" t="s">
        <v>141</v>
      </c>
      <c r="N17" s="4" t="s">
        <v>141</v>
      </c>
      <c r="O17" s="4" t="s">
        <v>142</v>
      </c>
      <c r="P17" s="4" t="s">
        <v>142</v>
      </c>
    </row>
    <row r="18" spans="1:16" x14ac:dyDescent="0.3">
      <c r="A18" t="s">
        <v>250</v>
      </c>
      <c r="B18" s="5" t="s">
        <v>92</v>
      </c>
      <c r="C18" s="7">
        <v>39000</v>
      </c>
      <c r="D18" s="4">
        <v>7000</v>
      </c>
      <c r="E18" s="4">
        <v>7</v>
      </c>
      <c r="F18" s="4">
        <f t="shared" si="1"/>
        <v>49000</v>
      </c>
      <c r="G18" s="4">
        <f t="shared" si="0"/>
        <v>1</v>
      </c>
      <c r="H18" s="4">
        <f t="shared" si="2"/>
        <v>7000</v>
      </c>
      <c r="I18" s="4" t="s">
        <v>141</v>
      </c>
      <c r="J18" s="4" t="s">
        <v>141</v>
      </c>
      <c r="K18" s="4" t="s">
        <v>141</v>
      </c>
      <c r="L18" s="4" t="s">
        <v>141</v>
      </c>
      <c r="M18" s="4" t="s">
        <v>141</v>
      </c>
      <c r="N18" s="4" t="s">
        <v>141</v>
      </c>
      <c r="O18" s="4" t="s">
        <v>141</v>
      </c>
      <c r="P18" s="4" t="s">
        <v>142</v>
      </c>
    </row>
  </sheetData>
  <mergeCells count="1">
    <mergeCell ref="O1:P1"/>
  </mergeCells>
  <phoneticPr fontId="4" type="noConversion"/>
  <dataValidations count="2">
    <dataValidation type="list" allowBlank="1" showInputMessage="1" showErrorMessage="1" sqref="I3:O18" xr:uid="{F49C82CD-F34C-41E5-BCA1-85B3077867AF}">
      <formula1>"Paid, Due"</formula1>
    </dataValidation>
    <dataValidation type="list" allowBlank="1" showInputMessage="1" showErrorMessage="1" sqref="P3:P18" xr:uid="{2ABE12FC-56C0-40EF-8FD6-CAB7BC68C68E}">
      <formula1>"Paid,Due"</formula1>
    </dataValidation>
  </dataValidations>
  <hyperlinks>
    <hyperlink ref="O1:P1" location="Dashboard!A1" display="Dashboard" xr:uid="{9D1AE9D8-8A2B-429D-BAA6-7DF62D42F36F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11EF-1615-4B26-88BF-4861DF9AB57B}">
  <dimension ref="A1:K19"/>
  <sheetViews>
    <sheetView workbookViewId="0">
      <selection activeCell="J1" sqref="J1:K1"/>
    </sheetView>
  </sheetViews>
  <sheetFormatPr defaultRowHeight="14.4" x14ac:dyDescent="0.3"/>
  <cols>
    <col min="1" max="1" width="9.6640625" bestFit="1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6.44140625" bestFit="1" customWidth="1"/>
    <col min="9" max="9" width="8.5546875" bestFit="1" customWidth="1"/>
  </cols>
  <sheetData>
    <row r="1" spans="1:11" ht="27.6" customHeight="1" x14ac:dyDescent="0.3">
      <c r="A1" s="8" t="s">
        <v>274</v>
      </c>
      <c r="B1" s="10" t="s">
        <v>5</v>
      </c>
      <c r="C1" s="13">
        <f>COUNTA(A3:A19)</f>
        <v>17</v>
      </c>
      <c r="D1" s="13">
        <f>SUM(D3:D19)*3</f>
        <v>153000</v>
      </c>
      <c r="E1" s="10"/>
      <c r="F1" s="13">
        <f>SUM(F3:F19)</f>
        <v>144000</v>
      </c>
      <c r="G1" s="10"/>
      <c r="H1" s="13">
        <f>SUM(H3:H19)</f>
        <v>9000</v>
      </c>
      <c r="J1" s="16" t="s">
        <v>269</v>
      </c>
      <c r="K1" s="16"/>
    </row>
    <row r="2" spans="1:11" ht="37.799999999999997" customHeight="1" x14ac:dyDescent="0.3">
      <c r="A2" s="3" t="s">
        <v>4</v>
      </c>
      <c r="B2" s="3" t="s">
        <v>2</v>
      </c>
      <c r="C2" s="4" t="s">
        <v>6</v>
      </c>
      <c r="D2" s="6" t="s">
        <v>7</v>
      </c>
      <c r="E2" s="6" t="s">
        <v>8</v>
      </c>
      <c r="F2" s="6" t="s">
        <v>3</v>
      </c>
      <c r="G2" s="6" t="s">
        <v>140</v>
      </c>
      <c r="H2" s="6" t="s">
        <v>10</v>
      </c>
      <c r="I2" s="4" t="s">
        <v>11</v>
      </c>
      <c r="J2" s="4" t="s">
        <v>12</v>
      </c>
      <c r="K2" s="4" t="s">
        <v>13</v>
      </c>
    </row>
    <row r="3" spans="1:11" x14ac:dyDescent="0.3">
      <c r="A3" t="s">
        <v>251</v>
      </c>
      <c r="B3" s="5" t="s">
        <v>94</v>
      </c>
      <c r="C3" s="7">
        <v>38506</v>
      </c>
      <c r="D3" s="12">
        <v>3000</v>
      </c>
      <c r="E3" s="12">
        <v>3</v>
      </c>
      <c r="F3" s="12">
        <f>D3*E3</f>
        <v>9000</v>
      </c>
      <c r="G3" s="12">
        <f>3-E3</f>
        <v>0</v>
      </c>
      <c r="H3" s="12">
        <f>D3*G3</f>
        <v>0</v>
      </c>
      <c r="I3" s="4" t="s">
        <v>141</v>
      </c>
      <c r="J3" s="4" t="s">
        <v>141</v>
      </c>
      <c r="K3" s="4" t="s">
        <v>141</v>
      </c>
    </row>
    <row r="4" spans="1:11" x14ac:dyDescent="0.3">
      <c r="A4" t="s">
        <v>252</v>
      </c>
      <c r="B4" s="5" t="s">
        <v>95</v>
      </c>
      <c r="C4" s="7">
        <v>38977</v>
      </c>
      <c r="D4" s="12">
        <v>3000</v>
      </c>
      <c r="E4" s="12">
        <v>3</v>
      </c>
      <c r="F4" s="12">
        <f t="shared" ref="F4:F19" si="0">D4*E4</f>
        <v>9000</v>
      </c>
      <c r="G4" s="12">
        <f t="shared" ref="G4:G19" si="1">3-E4</f>
        <v>0</v>
      </c>
      <c r="H4" s="12">
        <f t="shared" ref="H4:H19" si="2">D4*G4</f>
        <v>0</v>
      </c>
      <c r="I4" s="4" t="s">
        <v>141</v>
      </c>
      <c r="J4" s="4" t="s">
        <v>141</v>
      </c>
      <c r="K4" s="4" t="s">
        <v>141</v>
      </c>
    </row>
    <row r="5" spans="1:11" x14ac:dyDescent="0.3">
      <c r="A5" t="s">
        <v>253</v>
      </c>
      <c r="B5" s="5" t="s">
        <v>96</v>
      </c>
      <c r="C5" s="7">
        <v>39142</v>
      </c>
      <c r="D5" s="12">
        <v>3000</v>
      </c>
      <c r="E5" s="12">
        <v>3</v>
      </c>
      <c r="F5" s="12">
        <f t="shared" si="0"/>
        <v>9000</v>
      </c>
      <c r="G5" s="12">
        <f t="shared" si="1"/>
        <v>0</v>
      </c>
      <c r="H5" s="12">
        <f t="shared" si="2"/>
        <v>0</v>
      </c>
      <c r="I5" s="4" t="s">
        <v>141</v>
      </c>
      <c r="J5" s="4" t="s">
        <v>141</v>
      </c>
      <c r="K5" s="4" t="s">
        <v>142</v>
      </c>
    </row>
    <row r="6" spans="1:11" x14ac:dyDescent="0.3">
      <c r="A6" t="s">
        <v>254</v>
      </c>
      <c r="B6" s="5" t="s">
        <v>97</v>
      </c>
      <c r="C6" s="7">
        <v>38678</v>
      </c>
      <c r="D6" s="12">
        <v>3000</v>
      </c>
      <c r="E6" s="12">
        <v>3</v>
      </c>
      <c r="F6" s="12">
        <f t="shared" si="0"/>
        <v>9000</v>
      </c>
      <c r="G6" s="12">
        <f t="shared" si="1"/>
        <v>0</v>
      </c>
      <c r="H6" s="12">
        <f t="shared" si="2"/>
        <v>0</v>
      </c>
      <c r="I6" s="4" t="s">
        <v>141</v>
      </c>
      <c r="J6" s="4" t="s">
        <v>141</v>
      </c>
      <c r="K6" s="4" t="s">
        <v>141</v>
      </c>
    </row>
    <row r="7" spans="1:11" x14ac:dyDescent="0.3">
      <c r="A7" t="s">
        <v>255</v>
      </c>
      <c r="B7" s="5" t="s">
        <v>98</v>
      </c>
      <c r="C7" s="7">
        <v>38814</v>
      </c>
      <c r="D7" s="12">
        <v>3000</v>
      </c>
      <c r="E7" s="12">
        <v>3</v>
      </c>
      <c r="F7" s="12">
        <f t="shared" si="0"/>
        <v>9000</v>
      </c>
      <c r="G7" s="12">
        <f t="shared" si="1"/>
        <v>0</v>
      </c>
      <c r="H7" s="12">
        <f t="shared" si="2"/>
        <v>0</v>
      </c>
      <c r="I7" s="4" t="s">
        <v>141</v>
      </c>
      <c r="J7" s="4" t="s">
        <v>141</v>
      </c>
      <c r="K7" s="4" t="s">
        <v>141</v>
      </c>
    </row>
    <row r="8" spans="1:11" x14ac:dyDescent="0.3">
      <c r="A8" t="s">
        <v>256</v>
      </c>
      <c r="B8" s="5" t="s">
        <v>99</v>
      </c>
      <c r="C8" s="7">
        <v>39313</v>
      </c>
      <c r="D8" s="12">
        <v>3000</v>
      </c>
      <c r="E8" s="12">
        <v>3</v>
      </c>
      <c r="F8" s="12">
        <f t="shared" si="0"/>
        <v>9000</v>
      </c>
      <c r="G8" s="12">
        <f t="shared" si="1"/>
        <v>0</v>
      </c>
      <c r="H8" s="12">
        <f t="shared" si="2"/>
        <v>0</v>
      </c>
      <c r="I8" s="4" t="s">
        <v>141</v>
      </c>
      <c r="J8" s="4" t="s">
        <v>141</v>
      </c>
      <c r="K8" s="4" t="s">
        <v>141</v>
      </c>
    </row>
    <row r="9" spans="1:11" x14ac:dyDescent="0.3">
      <c r="A9" t="s">
        <v>257</v>
      </c>
      <c r="B9" s="5" t="s">
        <v>100</v>
      </c>
      <c r="C9" s="7">
        <v>38759</v>
      </c>
      <c r="D9" s="12">
        <v>3000</v>
      </c>
      <c r="E9" s="12">
        <v>3</v>
      </c>
      <c r="F9" s="12">
        <f t="shared" si="0"/>
        <v>9000</v>
      </c>
      <c r="G9" s="12">
        <f t="shared" si="1"/>
        <v>0</v>
      </c>
      <c r="H9" s="12">
        <f t="shared" si="2"/>
        <v>0</v>
      </c>
      <c r="I9" s="4" t="s">
        <v>141</v>
      </c>
      <c r="J9" s="4" t="s">
        <v>141</v>
      </c>
      <c r="K9" s="4" t="s">
        <v>141</v>
      </c>
    </row>
    <row r="10" spans="1:11" x14ac:dyDescent="0.3">
      <c r="A10" t="s">
        <v>258</v>
      </c>
      <c r="B10" s="5" t="s">
        <v>101</v>
      </c>
      <c r="C10" s="7">
        <v>38498</v>
      </c>
      <c r="D10" s="12">
        <v>3000</v>
      </c>
      <c r="E10" s="12">
        <v>3</v>
      </c>
      <c r="F10" s="12">
        <f t="shared" si="0"/>
        <v>9000</v>
      </c>
      <c r="G10" s="12">
        <f t="shared" si="1"/>
        <v>0</v>
      </c>
      <c r="H10" s="12">
        <f t="shared" si="2"/>
        <v>0</v>
      </c>
      <c r="I10" s="4" t="s">
        <v>141</v>
      </c>
      <c r="J10" s="4" t="s">
        <v>141</v>
      </c>
      <c r="K10" s="4" t="s">
        <v>141</v>
      </c>
    </row>
    <row r="11" spans="1:11" x14ac:dyDescent="0.3">
      <c r="A11" t="s">
        <v>259</v>
      </c>
      <c r="B11" s="5" t="s">
        <v>102</v>
      </c>
      <c r="C11" s="7">
        <v>38999</v>
      </c>
      <c r="D11" s="12">
        <v>3000</v>
      </c>
      <c r="E11" s="12">
        <v>2</v>
      </c>
      <c r="F11" s="12">
        <f t="shared" si="0"/>
        <v>6000</v>
      </c>
      <c r="G11" s="12">
        <f t="shared" si="1"/>
        <v>1</v>
      </c>
      <c r="H11" s="12">
        <f t="shared" si="2"/>
        <v>3000</v>
      </c>
      <c r="I11" s="4" t="s">
        <v>141</v>
      </c>
      <c r="J11" s="4" t="s">
        <v>141</v>
      </c>
      <c r="K11" s="4" t="s">
        <v>142</v>
      </c>
    </row>
    <row r="12" spans="1:11" x14ac:dyDescent="0.3">
      <c r="A12" t="s">
        <v>260</v>
      </c>
      <c r="B12" s="5" t="s">
        <v>103</v>
      </c>
      <c r="C12" s="7">
        <v>39430</v>
      </c>
      <c r="D12" s="12">
        <v>3000</v>
      </c>
      <c r="E12" s="12">
        <v>3</v>
      </c>
      <c r="F12" s="12">
        <f t="shared" si="0"/>
        <v>9000</v>
      </c>
      <c r="G12" s="12">
        <f t="shared" si="1"/>
        <v>0</v>
      </c>
      <c r="H12" s="12">
        <f t="shared" si="2"/>
        <v>0</v>
      </c>
      <c r="I12" s="4" t="s">
        <v>141</v>
      </c>
      <c r="J12" s="4" t="s">
        <v>141</v>
      </c>
      <c r="K12" s="4" t="s">
        <v>141</v>
      </c>
    </row>
    <row r="13" spans="1:11" x14ac:dyDescent="0.3">
      <c r="A13" t="s">
        <v>261</v>
      </c>
      <c r="B13" s="5" t="s">
        <v>104</v>
      </c>
      <c r="C13" s="7">
        <v>38508</v>
      </c>
      <c r="D13" s="12">
        <v>3000</v>
      </c>
      <c r="E13" s="12">
        <v>2</v>
      </c>
      <c r="F13" s="12">
        <f t="shared" si="0"/>
        <v>6000</v>
      </c>
      <c r="G13" s="12">
        <f t="shared" si="1"/>
        <v>1</v>
      </c>
      <c r="H13" s="12">
        <f t="shared" si="2"/>
        <v>3000</v>
      </c>
      <c r="I13" s="4" t="s">
        <v>141</v>
      </c>
      <c r="J13" s="4" t="s">
        <v>141</v>
      </c>
      <c r="K13" s="4" t="s">
        <v>142</v>
      </c>
    </row>
    <row r="14" spans="1:11" x14ac:dyDescent="0.3">
      <c r="A14" t="s">
        <v>262</v>
      </c>
      <c r="B14" s="5" t="s">
        <v>105</v>
      </c>
      <c r="C14" s="7">
        <v>38980</v>
      </c>
      <c r="D14" s="12">
        <v>3000</v>
      </c>
      <c r="E14" s="12">
        <v>3</v>
      </c>
      <c r="F14" s="12">
        <f t="shared" si="0"/>
        <v>9000</v>
      </c>
      <c r="G14" s="12">
        <f t="shared" si="1"/>
        <v>0</v>
      </c>
      <c r="H14" s="12">
        <f t="shared" si="2"/>
        <v>0</v>
      </c>
      <c r="I14" s="4" t="s">
        <v>141</v>
      </c>
      <c r="J14" s="4" t="s">
        <v>141</v>
      </c>
      <c r="K14" s="4" t="s">
        <v>141</v>
      </c>
    </row>
    <row r="15" spans="1:11" x14ac:dyDescent="0.3">
      <c r="A15" t="s">
        <v>263</v>
      </c>
      <c r="B15" s="5" t="s">
        <v>106</v>
      </c>
      <c r="C15" s="7">
        <v>39143</v>
      </c>
      <c r="D15" s="12">
        <v>3000</v>
      </c>
      <c r="E15" s="12">
        <v>3</v>
      </c>
      <c r="F15" s="12">
        <f t="shared" si="0"/>
        <v>9000</v>
      </c>
      <c r="G15" s="12">
        <f t="shared" si="1"/>
        <v>0</v>
      </c>
      <c r="H15" s="12">
        <f t="shared" si="2"/>
        <v>0</v>
      </c>
      <c r="I15" s="4" t="s">
        <v>141</v>
      </c>
      <c r="J15" s="4" t="s">
        <v>141</v>
      </c>
      <c r="K15" s="4" t="s">
        <v>141</v>
      </c>
    </row>
    <row r="16" spans="1:11" x14ac:dyDescent="0.3">
      <c r="A16" t="s">
        <v>264</v>
      </c>
      <c r="B16" s="5" t="s">
        <v>107</v>
      </c>
      <c r="C16" s="7">
        <v>38684</v>
      </c>
      <c r="D16" s="12">
        <v>3000</v>
      </c>
      <c r="E16" s="12">
        <v>3</v>
      </c>
      <c r="F16" s="12">
        <f t="shared" si="0"/>
        <v>9000</v>
      </c>
      <c r="G16" s="12">
        <f t="shared" si="1"/>
        <v>0</v>
      </c>
      <c r="H16" s="12">
        <f t="shared" si="2"/>
        <v>0</v>
      </c>
      <c r="I16" s="4" t="s">
        <v>141</v>
      </c>
      <c r="J16" s="4" t="s">
        <v>141</v>
      </c>
      <c r="K16" s="4" t="s">
        <v>141</v>
      </c>
    </row>
    <row r="17" spans="1:11" x14ac:dyDescent="0.3">
      <c r="A17" t="s">
        <v>265</v>
      </c>
      <c r="B17" s="5" t="s">
        <v>108</v>
      </c>
      <c r="C17" s="7">
        <v>38815</v>
      </c>
      <c r="D17" s="12">
        <v>3000</v>
      </c>
      <c r="E17" s="12">
        <v>2</v>
      </c>
      <c r="F17" s="12">
        <f t="shared" si="0"/>
        <v>6000</v>
      </c>
      <c r="G17" s="12">
        <f t="shared" si="1"/>
        <v>1</v>
      </c>
      <c r="H17" s="12">
        <f t="shared" si="2"/>
        <v>3000</v>
      </c>
      <c r="I17" s="4" t="s">
        <v>141</v>
      </c>
      <c r="J17" s="4" t="s">
        <v>141</v>
      </c>
      <c r="K17" s="4" t="s">
        <v>142</v>
      </c>
    </row>
    <row r="18" spans="1:11" x14ac:dyDescent="0.3">
      <c r="A18" t="s">
        <v>266</v>
      </c>
      <c r="B18" s="5" t="s">
        <v>109</v>
      </c>
      <c r="C18" s="7">
        <v>39280</v>
      </c>
      <c r="D18" s="12">
        <v>3000</v>
      </c>
      <c r="E18" s="12">
        <v>3</v>
      </c>
      <c r="F18" s="12">
        <f t="shared" si="0"/>
        <v>9000</v>
      </c>
      <c r="G18" s="12">
        <f t="shared" si="1"/>
        <v>0</v>
      </c>
      <c r="H18" s="12">
        <f t="shared" si="2"/>
        <v>0</v>
      </c>
      <c r="I18" s="4" t="s">
        <v>141</v>
      </c>
      <c r="J18" s="4" t="s">
        <v>141</v>
      </c>
      <c r="K18" s="4" t="s">
        <v>141</v>
      </c>
    </row>
    <row r="19" spans="1:11" x14ac:dyDescent="0.3">
      <c r="A19" t="s">
        <v>267</v>
      </c>
      <c r="B19" s="5" t="s">
        <v>110</v>
      </c>
      <c r="C19" s="7">
        <v>38758</v>
      </c>
      <c r="D19" s="12">
        <v>3000</v>
      </c>
      <c r="E19" s="12">
        <v>3</v>
      </c>
      <c r="F19" s="12">
        <f t="shared" si="0"/>
        <v>9000</v>
      </c>
      <c r="G19" s="12">
        <f t="shared" si="1"/>
        <v>0</v>
      </c>
      <c r="H19" s="12">
        <f t="shared" si="2"/>
        <v>0</v>
      </c>
      <c r="I19" s="4" t="s">
        <v>141</v>
      </c>
      <c r="J19" s="4" t="s">
        <v>141</v>
      </c>
      <c r="K19" s="4" t="s">
        <v>141</v>
      </c>
    </row>
  </sheetData>
  <mergeCells count="1">
    <mergeCell ref="J1:K1"/>
  </mergeCells>
  <phoneticPr fontId="4" type="noConversion"/>
  <dataValidations count="1">
    <dataValidation type="list" allowBlank="1" showInputMessage="1" showErrorMessage="1" sqref="I3:K19" xr:uid="{1660AD06-633F-4FD1-9E48-3C61AA62E843}">
      <formula1>"Paid, Due"</formula1>
    </dataValidation>
  </dataValidations>
  <hyperlinks>
    <hyperlink ref="J1:K1" location="Dashboard!A1" display="Dashboard" xr:uid="{90ACA4FF-1741-4D4E-8B78-18DDFE48BB32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Cloud Computing</vt:lpstr>
      <vt:lpstr>Data Analyst</vt:lpstr>
      <vt:lpstr>Machine Learning</vt:lpstr>
      <vt:lpstr>AI</vt:lpstr>
      <vt:lpstr>Cyber Security</vt:lpstr>
      <vt:lpstr>DEV-OPS</vt:lpstr>
      <vt:lpstr>Full Stack Development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Dharti Ambekar</dc:creator>
  <cp:lastModifiedBy>Dharti Ambekar</cp:lastModifiedBy>
  <dcterms:created xsi:type="dcterms:W3CDTF">2026-01-15T10:26:27Z</dcterms:created>
  <dcterms:modified xsi:type="dcterms:W3CDTF">2026-01-19T12:39:24Z</dcterms:modified>
</cp:coreProperties>
</file>